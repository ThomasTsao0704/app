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01yg\Desktop\cost\"/>
    </mc:Choice>
  </mc:AlternateContent>
  <xr:revisionPtr revIDLastSave="0" documentId="8_{0360BCB7-60BC-408E-9EC4-6956F47A8022}" xr6:coauthVersionLast="47" xr6:coauthVersionMax="47" xr10:uidLastSave="{00000000-0000-0000-0000-000000000000}"/>
  <bookViews>
    <workbookView xWindow="-108" yWindow="-108" windowWidth="23256" windowHeight="12456" xr2:uid="{CDD4CD9B-DFC6-45D4-A314-7714D56C6C85}"/>
  </bookViews>
  <sheets>
    <sheet name="總表" sheetId="1" r:id="rId1"/>
    <sheet name="工作表2" sheetId="2" r:id="rId2"/>
  </sheets>
  <definedNames>
    <definedName name="單位">單位清單[[#Headers],[單位]]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7" i="1" l="1"/>
  <c r="D243" i="1"/>
  <c r="D204" i="1"/>
  <c r="D208" i="1"/>
  <c r="D209" i="1"/>
  <c r="D211" i="1"/>
  <c r="D212" i="1"/>
  <c r="D213" i="1"/>
  <c r="G213" i="1" s="1"/>
  <c r="D215" i="1"/>
  <c r="D218" i="1"/>
  <c r="D222" i="1"/>
  <c r="D223" i="1"/>
  <c r="G223" i="1" s="1"/>
  <c r="D224" i="1"/>
  <c r="G224" i="1" s="1"/>
  <c r="D225" i="1"/>
  <c r="D228" i="1"/>
  <c r="D232" i="1"/>
  <c r="G233" i="1"/>
  <c r="D240" i="1"/>
  <c r="D247" i="1"/>
  <c r="D249" i="1"/>
  <c r="D251" i="1"/>
  <c r="D253" i="1"/>
  <c r="D254" i="1"/>
  <c r="D257" i="1"/>
  <c r="G257" i="1" s="1"/>
  <c r="D258" i="1"/>
  <c r="D260" i="1"/>
  <c r="D262" i="1"/>
  <c r="D267" i="1"/>
  <c r="D268" i="1"/>
  <c r="D273" i="1"/>
  <c r="D276" i="1"/>
  <c r="D279" i="1"/>
  <c r="D282" i="1"/>
  <c r="D285" i="1"/>
  <c r="D286" i="1"/>
  <c r="D293" i="1"/>
  <c r="D294" i="1"/>
  <c r="D295" i="1"/>
  <c r="D296" i="1"/>
  <c r="D300" i="1"/>
  <c r="D303" i="1"/>
  <c r="D306" i="1"/>
  <c r="D307" i="1"/>
  <c r="D548" i="1"/>
  <c r="D551" i="1"/>
  <c r="D558" i="1"/>
  <c r="D559" i="1"/>
  <c r="D561" i="1"/>
  <c r="D562" i="1"/>
  <c r="D564" i="1"/>
  <c r="D565" i="1"/>
  <c r="D568" i="1"/>
  <c r="D569" i="1"/>
  <c r="D572" i="1"/>
  <c r="D573" i="1"/>
  <c r="D574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H365" i="1"/>
  <c r="H366" i="1"/>
  <c r="H367" i="1"/>
  <c r="H368" i="1"/>
  <c r="H369" i="1"/>
  <c r="H370" i="1"/>
  <c r="H371" i="1"/>
  <c r="H372" i="1"/>
  <c r="H373" i="1"/>
  <c r="H211" i="1"/>
  <c r="H213" i="1"/>
  <c r="H214" i="1"/>
  <c r="H215" i="1"/>
  <c r="H216" i="1"/>
  <c r="H217" i="1"/>
  <c r="H218" i="1"/>
  <c r="H219" i="1"/>
  <c r="A498" i="1"/>
  <c r="A450" i="1"/>
  <c r="A451" i="1" s="1"/>
  <c r="A452" i="1" s="1"/>
  <c r="A453" i="1" s="1"/>
  <c r="A454" i="1" s="1"/>
  <c r="A455" i="1" s="1"/>
  <c r="A456" i="1" s="1"/>
  <c r="A457" i="1" s="1"/>
  <c r="E451" i="1"/>
  <c r="F451" i="1"/>
  <c r="E452" i="1"/>
  <c r="E453" i="1"/>
  <c r="E454" i="1"/>
  <c r="E455" i="1"/>
  <c r="F455" i="1"/>
  <c r="E456" i="1"/>
  <c r="F456" i="1"/>
  <c r="E457" i="1"/>
  <c r="E458" i="1"/>
  <c r="F458" i="1"/>
  <c r="A459" i="1"/>
  <c r="A460" i="1" s="1"/>
  <c r="A461" i="1" s="1"/>
  <c r="A462" i="1" s="1"/>
  <c r="A463" i="1" s="1"/>
  <c r="A464" i="1" s="1"/>
  <c r="A465" i="1" s="1"/>
  <c r="E459" i="1"/>
  <c r="E460" i="1"/>
  <c r="E461" i="1"/>
  <c r="E462" i="1"/>
  <c r="E463" i="1"/>
  <c r="E464" i="1"/>
  <c r="E465" i="1"/>
  <c r="E466" i="1"/>
  <c r="F466" i="1"/>
  <c r="A467" i="1"/>
  <c r="E467" i="1"/>
  <c r="A468" i="1"/>
  <c r="E468" i="1"/>
  <c r="A469" i="1"/>
  <c r="A470" i="1" s="1"/>
  <c r="A471" i="1" s="1"/>
  <c r="A472" i="1" s="1"/>
  <c r="A473" i="1" s="1"/>
  <c r="A474" i="1" s="1"/>
  <c r="A475" i="1" s="1"/>
  <c r="E469" i="1"/>
  <c r="E470" i="1"/>
  <c r="E471" i="1"/>
  <c r="E472" i="1"/>
  <c r="F472" i="1"/>
  <c r="E473" i="1"/>
  <c r="F473" i="1"/>
  <c r="E474" i="1"/>
  <c r="F474" i="1"/>
  <c r="E475" i="1"/>
  <c r="E476" i="1"/>
  <c r="F476" i="1"/>
  <c r="A477" i="1"/>
  <c r="E477" i="1"/>
  <c r="F477" i="1"/>
  <c r="A478" i="1"/>
  <c r="E478" i="1"/>
  <c r="F478" i="1"/>
  <c r="A479" i="1"/>
  <c r="A480" i="1" s="1"/>
  <c r="A481" i="1" s="1"/>
  <c r="A482" i="1" s="1"/>
  <c r="E479" i="1"/>
  <c r="E480" i="1"/>
  <c r="E481" i="1"/>
  <c r="F481" i="1"/>
  <c r="E482" i="1"/>
  <c r="E483" i="1"/>
  <c r="F483" i="1"/>
  <c r="A484" i="1"/>
  <c r="E484" i="1"/>
  <c r="F484" i="1"/>
  <c r="A485" i="1"/>
  <c r="E485" i="1"/>
  <c r="A486" i="1"/>
  <c r="A487" i="1" s="1"/>
  <c r="E486" i="1"/>
  <c r="E487" i="1"/>
  <c r="F487" i="1"/>
  <c r="E488" i="1"/>
  <c r="F488" i="1"/>
  <c r="A489" i="1"/>
  <c r="A490" i="1" s="1"/>
  <c r="A491" i="1" s="1"/>
  <c r="A492" i="1" s="1"/>
  <c r="A493" i="1" s="1"/>
  <c r="A494" i="1" s="1"/>
  <c r="A495" i="1" s="1"/>
  <c r="A496" i="1" s="1"/>
  <c r="E489" i="1"/>
  <c r="F489" i="1"/>
  <c r="E490" i="1"/>
  <c r="F490" i="1"/>
  <c r="E491" i="1"/>
  <c r="E492" i="1"/>
  <c r="F492" i="1"/>
  <c r="E493" i="1"/>
  <c r="E494" i="1"/>
  <c r="E495" i="1"/>
  <c r="E496" i="1"/>
  <c r="F496" i="1"/>
  <c r="E497" i="1"/>
  <c r="F497" i="1"/>
  <c r="E498" i="1"/>
  <c r="F498" i="1"/>
  <c r="A499" i="1"/>
  <c r="A500" i="1" s="1"/>
  <c r="A501" i="1" s="1"/>
  <c r="A502" i="1" s="1"/>
  <c r="A503" i="1" s="1"/>
  <c r="A504" i="1" s="1"/>
  <c r="E499" i="1"/>
  <c r="F499" i="1"/>
  <c r="E500" i="1"/>
  <c r="E501" i="1"/>
  <c r="E502" i="1"/>
  <c r="E503" i="1"/>
  <c r="F503" i="1"/>
  <c r="E504" i="1"/>
  <c r="F504" i="1"/>
  <c r="E505" i="1"/>
  <c r="F505" i="1"/>
  <c r="A506" i="1"/>
  <c r="A507" i="1" s="1"/>
  <c r="A508" i="1" s="1"/>
  <c r="A509" i="1" s="1"/>
  <c r="A510" i="1" s="1"/>
  <c r="A511" i="1" s="1"/>
  <c r="A512" i="1" s="1"/>
  <c r="E506" i="1"/>
  <c r="E507" i="1"/>
  <c r="E508" i="1"/>
  <c r="E509" i="1"/>
  <c r="F509" i="1"/>
  <c r="E510" i="1"/>
  <c r="F510" i="1"/>
  <c r="E511" i="1"/>
  <c r="E512" i="1"/>
  <c r="F512" i="1"/>
  <c r="E513" i="1"/>
  <c r="F513" i="1"/>
  <c r="A514" i="1"/>
  <c r="E514" i="1"/>
  <c r="F514" i="1"/>
  <c r="A515" i="1"/>
  <c r="E515" i="1"/>
  <c r="A516" i="1"/>
  <c r="A517" i="1" s="1"/>
  <c r="A518" i="1" s="1"/>
  <c r="A519" i="1" s="1"/>
  <c r="A520" i="1" s="1"/>
  <c r="E516" i="1"/>
  <c r="E517" i="1"/>
  <c r="F517" i="1"/>
  <c r="E518" i="1"/>
  <c r="E519" i="1"/>
  <c r="F519" i="1"/>
  <c r="E520" i="1"/>
  <c r="E521" i="1"/>
  <c r="F521" i="1"/>
  <c r="A522" i="1"/>
  <c r="E522" i="1"/>
  <c r="A523" i="1"/>
  <c r="A524" i="1" s="1"/>
  <c r="A525" i="1" s="1"/>
  <c r="A526" i="1" s="1"/>
  <c r="A527" i="1" s="1"/>
  <c r="A528" i="1" s="1"/>
  <c r="A529" i="1" s="1"/>
  <c r="A530" i="1" s="1"/>
  <c r="E523" i="1"/>
  <c r="E524" i="1"/>
  <c r="E525" i="1"/>
  <c r="E526" i="1"/>
  <c r="F526" i="1"/>
  <c r="E527" i="1"/>
  <c r="F527" i="1"/>
  <c r="E528" i="1"/>
  <c r="F528" i="1"/>
  <c r="E529" i="1"/>
  <c r="E530" i="1"/>
  <c r="E531" i="1"/>
  <c r="F531" i="1"/>
  <c r="A532" i="1"/>
  <c r="A533" i="1" s="1"/>
  <c r="A534" i="1" s="1"/>
  <c r="A535" i="1" s="1"/>
  <c r="A536" i="1" s="1"/>
  <c r="A537" i="1" s="1"/>
  <c r="A538" i="1" s="1"/>
  <c r="E532" i="1"/>
  <c r="E533" i="1"/>
  <c r="E534" i="1"/>
  <c r="E535" i="1"/>
  <c r="E536" i="1"/>
  <c r="F536" i="1"/>
  <c r="E537" i="1"/>
  <c r="E538" i="1"/>
  <c r="F538" i="1"/>
  <c r="E539" i="1"/>
  <c r="F539" i="1"/>
  <c r="A540" i="1"/>
  <c r="E540" i="1"/>
  <c r="F540" i="1"/>
  <c r="A541" i="1"/>
  <c r="A542" i="1" s="1"/>
  <c r="A543" i="1" s="1"/>
  <c r="A544" i="1" s="1"/>
  <c r="A545" i="1" s="1"/>
  <c r="A546" i="1" s="1"/>
  <c r="A547" i="1" s="1"/>
  <c r="A548" i="1" s="1"/>
  <c r="E541" i="1"/>
  <c r="F541" i="1"/>
  <c r="E542" i="1"/>
  <c r="F542" i="1"/>
  <c r="E543" i="1"/>
  <c r="E544" i="1"/>
  <c r="F544" i="1"/>
  <c r="E545" i="1"/>
  <c r="E546" i="1"/>
  <c r="E547" i="1"/>
  <c r="E548" i="1"/>
  <c r="F548" i="1"/>
  <c r="A550" i="1"/>
  <c r="E550" i="1"/>
  <c r="A551" i="1"/>
  <c r="E551" i="1"/>
  <c r="F551" i="1"/>
  <c r="A552" i="1"/>
  <c r="A553" i="1" s="1"/>
  <c r="A554" i="1" s="1"/>
  <c r="A555" i="1" s="1"/>
  <c r="A556" i="1" s="1"/>
  <c r="E552" i="1"/>
  <c r="F552" i="1"/>
  <c r="E553" i="1"/>
  <c r="F553" i="1"/>
  <c r="E554" i="1"/>
  <c r="F554" i="1"/>
  <c r="E555" i="1"/>
  <c r="E556" i="1"/>
  <c r="E557" i="1"/>
  <c r="F557" i="1"/>
  <c r="A558" i="1"/>
  <c r="A559" i="1" s="1"/>
  <c r="A560" i="1" s="1"/>
  <c r="A561" i="1" s="1"/>
  <c r="A562" i="1" s="1"/>
  <c r="A563" i="1" s="1"/>
  <c r="A564" i="1" s="1"/>
  <c r="E558" i="1"/>
  <c r="E559" i="1"/>
  <c r="F559" i="1"/>
  <c r="E560" i="1"/>
  <c r="E561" i="1"/>
  <c r="E562" i="1"/>
  <c r="E563" i="1"/>
  <c r="E564" i="1"/>
  <c r="E565" i="1"/>
  <c r="F565" i="1"/>
  <c r="A566" i="1"/>
  <c r="A567" i="1" s="1"/>
  <c r="A568" i="1" s="1"/>
  <c r="A569" i="1" s="1"/>
  <c r="A570" i="1" s="1"/>
  <c r="A571" i="1" s="1"/>
  <c r="A572" i="1" s="1"/>
  <c r="E566" i="1"/>
  <c r="F566" i="1"/>
  <c r="E567" i="1"/>
  <c r="E568" i="1"/>
  <c r="E569" i="1"/>
  <c r="E570" i="1"/>
  <c r="E571" i="1"/>
  <c r="E572" i="1"/>
  <c r="F572" i="1"/>
  <c r="E573" i="1"/>
  <c r="F573" i="1"/>
  <c r="A574" i="1"/>
  <c r="E574" i="1"/>
  <c r="F574" i="1"/>
  <c r="A575" i="1"/>
  <c r="E575" i="1"/>
  <c r="A576" i="1"/>
  <c r="E576" i="1"/>
  <c r="F576" i="1"/>
  <c r="A577" i="1"/>
  <c r="A578" i="1" s="1"/>
  <c r="A579" i="1" s="1"/>
  <c r="A580" i="1" s="1"/>
  <c r="A581" i="1" s="1"/>
  <c r="E577" i="1"/>
  <c r="E578" i="1"/>
  <c r="E579" i="1"/>
  <c r="F579" i="1"/>
  <c r="E580" i="1"/>
  <c r="F580" i="1"/>
  <c r="E581" i="1"/>
  <c r="A582" i="1"/>
  <c r="E582" i="1"/>
  <c r="F582" i="1"/>
  <c r="A583" i="1"/>
  <c r="E583" i="1"/>
  <c r="F583" i="1"/>
  <c r="A584" i="1"/>
  <c r="E584" i="1"/>
  <c r="F584" i="1"/>
  <c r="A585" i="1"/>
  <c r="E585" i="1"/>
  <c r="F585" i="1"/>
  <c r="A586" i="1"/>
  <c r="E586" i="1"/>
  <c r="F586" i="1"/>
  <c r="A587" i="1"/>
  <c r="E587" i="1"/>
  <c r="F587" i="1"/>
  <c r="A588" i="1"/>
  <c r="E588" i="1"/>
  <c r="F588" i="1"/>
  <c r="A589" i="1"/>
  <c r="E589" i="1"/>
  <c r="F589" i="1"/>
  <c r="A590" i="1"/>
  <c r="E590" i="1"/>
  <c r="F590" i="1"/>
  <c r="A591" i="1"/>
  <c r="E591" i="1"/>
  <c r="F591" i="1"/>
  <c r="A592" i="1"/>
  <c r="E592" i="1"/>
  <c r="F592" i="1"/>
  <c r="A593" i="1"/>
  <c r="E593" i="1"/>
  <c r="F593" i="1"/>
  <c r="A594" i="1"/>
  <c r="E594" i="1"/>
  <c r="F594" i="1"/>
  <c r="A595" i="1"/>
  <c r="E595" i="1"/>
  <c r="F595" i="1"/>
  <c r="A596" i="1"/>
  <c r="E596" i="1"/>
  <c r="F596" i="1"/>
  <c r="A597" i="1"/>
  <c r="E597" i="1"/>
  <c r="F597" i="1"/>
  <c r="A598" i="1"/>
  <c r="E598" i="1"/>
  <c r="F598" i="1"/>
  <c r="A599" i="1"/>
  <c r="E599" i="1"/>
  <c r="F599" i="1"/>
  <c r="A600" i="1"/>
  <c r="E600" i="1"/>
  <c r="F600" i="1"/>
  <c r="A601" i="1"/>
  <c r="E601" i="1"/>
  <c r="F601" i="1"/>
  <c r="A602" i="1"/>
  <c r="E602" i="1"/>
  <c r="F602" i="1"/>
  <c r="A603" i="1"/>
  <c r="E603" i="1"/>
  <c r="F603" i="1"/>
  <c r="A604" i="1"/>
  <c r="E604" i="1"/>
  <c r="F604" i="1"/>
  <c r="A605" i="1"/>
  <c r="E605" i="1"/>
  <c r="F605" i="1"/>
  <c r="A606" i="1"/>
  <c r="E606" i="1"/>
  <c r="F606" i="1"/>
  <c r="A607" i="1"/>
  <c r="E607" i="1"/>
  <c r="F607" i="1"/>
  <c r="A608" i="1"/>
  <c r="E608" i="1"/>
  <c r="F608" i="1"/>
  <c r="A609" i="1"/>
  <c r="E609" i="1"/>
  <c r="F609" i="1"/>
  <c r="A610" i="1"/>
  <c r="E610" i="1"/>
  <c r="F610" i="1"/>
  <c r="A611" i="1"/>
  <c r="E611" i="1"/>
  <c r="F611" i="1"/>
  <c r="A612" i="1"/>
  <c r="E612" i="1"/>
  <c r="F612" i="1"/>
  <c r="A613" i="1"/>
  <c r="E613" i="1"/>
  <c r="F613" i="1"/>
  <c r="A614" i="1"/>
  <c r="E614" i="1"/>
  <c r="F614" i="1"/>
  <c r="A615" i="1"/>
  <c r="E615" i="1"/>
  <c r="F615" i="1"/>
  <c r="A616" i="1"/>
  <c r="E616" i="1"/>
  <c r="F616" i="1"/>
  <c r="A617" i="1"/>
  <c r="E617" i="1"/>
  <c r="F617" i="1"/>
  <c r="A618" i="1"/>
  <c r="E618" i="1"/>
  <c r="F618" i="1"/>
  <c r="A619" i="1"/>
  <c r="E619" i="1"/>
  <c r="F619" i="1"/>
  <c r="A620" i="1"/>
  <c r="E620" i="1"/>
  <c r="F620" i="1"/>
  <c r="A621" i="1"/>
  <c r="E621" i="1"/>
  <c r="F621" i="1"/>
  <c r="A622" i="1"/>
  <c r="E622" i="1"/>
  <c r="F622" i="1"/>
  <c r="A623" i="1"/>
  <c r="E623" i="1"/>
  <c r="F623" i="1"/>
  <c r="A624" i="1"/>
  <c r="E624" i="1"/>
  <c r="F624" i="1"/>
  <c r="A625" i="1"/>
  <c r="E625" i="1"/>
  <c r="F625" i="1"/>
  <c r="A626" i="1"/>
  <c r="E626" i="1"/>
  <c r="F626" i="1"/>
  <c r="A627" i="1"/>
  <c r="E627" i="1"/>
  <c r="F627" i="1"/>
  <c r="A628" i="1"/>
  <c r="E628" i="1"/>
  <c r="F628" i="1"/>
  <c r="A629" i="1"/>
  <c r="E629" i="1"/>
  <c r="F629" i="1"/>
  <c r="A630" i="1"/>
  <c r="E630" i="1"/>
  <c r="F630" i="1"/>
  <c r="A631" i="1"/>
  <c r="E631" i="1"/>
  <c r="F631" i="1"/>
  <c r="A632" i="1"/>
  <c r="E632" i="1"/>
  <c r="F632" i="1"/>
  <c r="A633" i="1"/>
  <c r="E633" i="1"/>
  <c r="F633" i="1"/>
  <c r="A634" i="1"/>
  <c r="E634" i="1"/>
  <c r="F634" i="1"/>
  <c r="A635" i="1"/>
  <c r="E635" i="1"/>
  <c r="F635" i="1"/>
  <c r="A636" i="1"/>
  <c r="E636" i="1"/>
  <c r="F636" i="1"/>
  <c r="A637" i="1"/>
  <c r="E637" i="1"/>
  <c r="F637" i="1"/>
  <c r="A638" i="1"/>
  <c r="E638" i="1"/>
  <c r="F638" i="1"/>
  <c r="A639" i="1"/>
  <c r="E639" i="1"/>
  <c r="F639" i="1"/>
  <c r="A640" i="1"/>
  <c r="E640" i="1"/>
  <c r="F640" i="1"/>
  <c r="A641" i="1"/>
  <c r="E641" i="1"/>
  <c r="F641" i="1"/>
  <c r="A642" i="1"/>
  <c r="E642" i="1"/>
  <c r="F642" i="1"/>
  <c r="A643" i="1"/>
  <c r="E643" i="1"/>
  <c r="F643" i="1"/>
  <c r="A644" i="1"/>
  <c r="E644" i="1"/>
  <c r="F644" i="1"/>
  <c r="A645" i="1"/>
  <c r="E645" i="1"/>
  <c r="F645" i="1"/>
  <c r="A646" i="1"/>
  <c r="E646" i="1"/>
  <c r="F646" i="1"/>
  <c r="A647" i="1"/>
  <c r="E647" i="1"/>
  <c r="F647" i="1"/>
  <c r="A648" i="1"/>
  <c r="E648" i="1"/>
  <c r="F648" i="1"/>
  <c r="A649" i="1"/>
  <c r="E649" i="1"/>
  <c r="F649" i="1"/>
  <c r="A650" i="1"/>
  <c r="E650" i="1"/>
  <c r="F650" i="1"/>
  <c r="A651" i="1"/>
  <c r="E651" i="1"/>
  <c r="F651" i="1"/>
  <c r="A652" i="1"/>
  <c r="E652" i="1"/>
  <c r="F652" i="1"/>
  <c r="A653" i="1"/>
  <c r="E653" i="1"/>
  <c r="F653" i="1"/>
  <c r="A654" i="1"/>
  <c r="E654" i="1"/>
  <c r="F654" i="1"/>
  <c r="A655" i="1"/>
  <c r="E655" i="1"/>
  <c r="F655" i="1"/>
  <c r="A656" i="1"/>
  <c r="E656" i="1"/>
  <c r="F656" i="1"/>
  <c r="A657" i="1"/>
  <c r="E657" i="1"/>
  <c r="F657" i="1"/>
  <c r="A658" i="1"/>
  <c r="E658" i="1"/>
  <c r="F658" i="1"/>
  <c r="A659" i="1"/>
  <c r="E659" i="1"/>
  <c r="F659" i="1"/>
  <c r="A660" i="1"/>
  <c r="E660" i="1"/>
  <c r="F660" i="1"/>
  <c r="A661" i="1"/>
  <c r="E661" i="1"/>
  <c r="F661" i="1"/>
  <c r="A662" i="1"/>
  <c r="E662" i="1"/>
  <c r="F662" i="1"/>
  <c r="A663" i="1"/>
  <c r="E663" i="1"/>
  <c r="F663" i="1"/>
  <c r="A664" i="1"/>
  <c r="E664" i="1"/>
  <c r="F664" i="1"/>
  <c r="A665" i="1"/>
  <c r="E665" i="1"/>
  <c r="F665" i="1"/>
  <c r="A666" i="1"/>
  <c r="E666" i="1"/>
  <c r="F666" i="1"/>
  <c r="A667" i="1"/>
  <c r="E667" i="1"/>
  <c r="F667" i="1"/>
  <c r="A668" i="1"/>
  <c r="E668" i="1"/>
  <c r="F668" i="1"/>
  <c r="A669" i="1"/>
  <c r="E669" i="1"/>
  <c r="F669" i="1"/>
  <c r="A670" i="1"/>
  <c r="E670" i="1"/>
  <c r="F670" i="1"/>
  <c r="A671" i="1"/>
  <c r="E671" i="1"/>
  <c r="F671" i="1"/>
  <c r="A672" i="1"/>
  <c r="E672" i="1"/>
  <c r="F672" i="1"/>
  <c r="A673" i="1"/>
  <c r="E673" i="1"/>
  <c r="F673" i="1"/>
  <c r="A674" i="1"/>
  <c r="E674" i="1"/>
  <c r="F674" i="1"/>
  <c r="A675" i="1"/>
  <c r="E675" i="1"/>
  <c r="F675" i="1"/>
  <c r="A676" i="1"/>
  <c r="E676" i="1"/>
  <c r="F676" i="1"/>
  <c r="A677" i="1"/>
  <c r="E677" i="1"/>
  <c r="F677" i="1"/>
  <c r="A678" i="1"/>
  <c r="E678" i="1"/>
  <c r="F678" i="1"/>
  <c r="A679" i="1"/>
  <c r="E679" i="1"/>
  <c r="F679" i="1"/>
  <c r="A680" i="1"/>
  <c r="E680" i="1"/>
  <c r="F680" i="1"/>
  <c r="A681" i="1"/>
  <c r="E681" i="1"/>
  <c r="F681" i="1"/>
  <c r="A682" i="1"/>
  <c r="E682" i="1"/>
  <c r="F682" i="1"/>
  <c r="A683" i="1"/>
  <c r="E683" i="1"/>
  <c r="F683" i="1"/>
  <c r="A684" i="1"/>
  <c r="E684" i="1"/>
  <c r="F684" i="1"/>
  <c r="A685" i="1"/>
  <c r="E685" i="1"/>
  <c r="F685" i="1"/>
  <c r="A686" i="1"/>
  <c r="E686" i="1"/>
  <c r="F686" i="1"/>
  <c r="A687" i="1"/>
  <c r="E687" i="1"/>
  <c r="F687" i="1"/>
  <c r="A688" i="1"/>
  <c r="E688" i="1"/>
  <c r="F688" i="1"/>
  <c r="A689" i="1"/>
  <c r="E689" i="1"/>
  <c r="F689" i="1"/>
  <c r="A690" i="1"/>
  <c r="E690" i="1"/>
  <c r="F690" i="1"/>
  <c r="A691" i="1"/>
  <c r="E691" i="1"/>
  <c r="F691" i="1"/>
  <c r="A692" i="1"/>
  <c r="E692" i="1"/>
  <c r="F692" i="1"/>
  <c r="A693" i="1"/>
  <c r="E693" i="1"/>
  <c r="F693" i="1"/>
  <c r="A694" i="1"/>
  <c r="E694" i="1"/>
  <c r="F694" i="1"/>
  <c r="A695" i="1"/>
  <c r="E695" i="1"/>
  <c r="F695" i="1"/>
  <c r="A696" i="1"/>
  <c r="E696" i="1"/>
  <c r="F696" i="1"/>
  <c r="A697" i="1"/>
  <c r="E697" i="1"/>
  <c r="F697" i="1"/>
  <c r="A698" i="1"/>
  <c r="E698" i="1"/>
  <c r="F698" i="1"/>
  <c r="A699" i="1"/>
  <c r="E699" i="1"/>
  <c r="F699" i="1"/>
  <c r="A700" i="1"/>
  <c r="E700" i="1"/>
  <c r="F700" i="1"/>
  <c r="A701" i="1"/>
  <c r="E701" i="1"/>
  <c r="F701" i="1"/>
  <c r="A702" i="1"/>
  <c r="E702" i="1"/>
  <c r="F702" i="1"/>
  <c r="A703" i="1"/>
  <c r="E703" i="1"/>
  <c r="F703" i="1"/>
  <c r="A704" i="1"/>
  <c r="E704" i="1"/>
  <c r="F704" i="1"/>
  <c r="A705" i="1"/>
  <c r="E705" i="1"/>
  <c r="F705" i="1"/>
  <c r="A706" i="1"/>
  <c r="E706" i="1"/>
  <c r="F706" i="1"/>
  <c r="A707" i="1"/>
  <c r="E707" i="1"/>
  <c r="F707" i="1"/>
  <c r="A708" i="1"/>
  <c r="E708" i="1"/>
  <c r="F708" i="1"/>
  <c r="A709" i="1"/>
  <c r="E709" i="1"/>
  <c r="F709" i="1"/>
  <c r="A710" i="1"/>
  <c r="E710" i="1"/>
  <c r="F710" i="1"/>
  <c r="A711" i="1"/>
  <c r="E711" i="1"/>
  <c r="F711" i="1"/>
  <c r="A712" i="1"/>
  <c r="E712" i="1"/>
  <c r="F712" i="1"/>
  <c r="A713" i="1"/>
  <c r="E713" i="1"/>
  <c r="F713" i="1"/>
  <c r="A714" i="1"/>
  <c r="E714" i="1"/>
  <c r="F714" i="1"/>
  <c r="A715" i="1"/>
  <c r="E715" i="1"/>
  <c r="F715" i="1"/>
  <c r="A716" i="1"/>
  <c r="E716" i="1"/>
  <c r="F716" i="1"/>
  <c r="A717" i="1"/>
  <c r="E717" i="1"/>
  <c r="F717" i="1"/>
  <c r="A718" i="1"/>
  <c r="E718" i="1"/>
  <c r="F718" i="1"/>
  <c r="A719" i="1"/>
  <c r="E719" i="1"/>
  <c r="F719" i="1"/>
  <c r="A720" i="1"/>
  <c r="E720" i="1"/>
  <c r="F720" i="1"/>
  <c r="A721" i="1"/>
  <c r="E721" i="1"/>
  <c r="F721" i="1"/>
  <c r="A722" i="1"/>
  <c r="E722" i="1"/>
  <c r="F722" i="1"/>
  <c r="A723" i="1"/>
  <c r="E723" i="1"/>
  <c r="F723" i="1"/>
  <c r="A724" i="1"/>
  <c r="E724" i="1"/>
  <c r="F724" i="1"/>
  <c r="A725" i="1"/>
  <c r="E725" i="1"/>
  <c r="F725" i="1"/>
  <c r="A726" i="1"/>
  <c r="E726" i="1"/>
  <c r="F726" i="1"/>
  <c r="A727" i="1"/>
  <c r="E727" i="1"/>
  <c r="F727" i="1"/>
  <c r="A728" i="1"/>
  <c r="E728" i="1"/>
  <c r="F728" i="1"/>
  <c r="A729" i="1"/>
  <c r="E729" i="1"/>
  <c r="F729" i="1"/>
  <c r="A730" i="1"/>
  <c r="E730" i="1"/>
  <c r="F730" i="1"/>
  <c r="A731" i="1"/>
  <c r="E731" i="1"/>
  <c r="F731" i="1"/>
  <c r="A732" i="1"/>
  <c r="E732" i="1"/>
  <c r="F732" i="1"/>
  <c r="A733" i="1"/>
  <c r="E733" i="1"/>
  <c r="F733" i="1"/>
  <c r="A734" i="1"/>
  <c r="E734" i="1"/>
  <c r="F734" i="1"/>
  <c r="A735" i="1"/>
  <c r="E735" i="1"/>
  <c r="F735" i="1"/>
  <c r="A736" i="1"/>
  <c r="E736" i="1"/>
  <c r="F736" i="1"/>
  <c r="A737" i="1"/>
  <c r="E737" i="1"/>
  <c r="F737" i="1"/>
  <c r="A738" i="1"/>
  <c r="E738" i="1"/>
  <c r="F738" i="1"/>
  <c r="A739" i="1"/>
  <c r="E739" i="1"/>
  <c r="F739" i="1"/>
  <c r="A740" i="1"/>
  <c r="E740" i="1"/>
  <c r="F740" i="1"/>
  <c r="A741" i="1"/>
  <c r="E741" i="1"/>
  <c r="F741" i="1"/>
  <c r="A742" i="1"/>
  <c r="E742" i="1"/>
  <c r="F742" i="1"/>
  <c r="A743" i="1"/>
  <c r="E743" i="1"/>
  <c r="F743" i="1"/>
  <c r="A744" i="1"/>
  <c r="E744" i="1"/>
  <c r="F744" i="1"/>
  <c r="A745" i="1"/>
  <c r="E745" i="1"/>
  <c r="F745" i="1"/>
  <c r="A746" i="1"/>
  <c r="E746" i="1"/>
  <c r="F746" i="1"/>
  <c r="A747" i="1"/>
  <c r="E747" i="1"/>
  <c r="F747" i="1"/>
  <c r="A748" i="1"/>
  <c r="E748" i="1"/>
  <c r="F748" i="1"/>
  <c r="A749" i="1"/>
  <c r="E749" i="1"/>
  <c r="F749" i="1"/>
  <c r="A750" i="1"/>
  <c r="E750" i="1"/>
  <c r="F750" i="1"/>
  <c r="A751" i="1"/>
  <c r="E751" i="1"/>
  <c r="F751" i="1"/>
  <c r="A752" i="1"/>
  <c r="E752" i="1"/>
  <c r="F752" i="1"/>
  <c r="A753" i="1"/>
  <c r="E753" i="1"/>
  <c r="F753" i="1"/>
  <c r="A754" i="1"/>
  <c r="E754" i="1"/>
  <c r="F754" i="1"/>
  <c r="A755" i="1"/>
  <c r="E755" i="1"/>
  <c r="F755" i="1"/>
  <c r="A756" i="1"/>
  <c r="E756" i="1"/>
  <c r="F756" i="1"/>
  <c r="A757" i="1"/>
  <c r="E757" i="1"/>
  <c r="F757" i="1"/>
  <c r="A758" i="1"/>
  <c r="E758" i="1"/>
  <c r="F758" i="1"/>
  <c r="A759" i="1"/>
  <c r="E759" i="1"/>
  <c r="F759" i="1"/>
  <c r="A760" i="1"/>
  <c r="E760" i="1"/>
  <c r="F760" i="1"/>
  <c r="A761" i="1"/>
  <c r="E761" i="1"/>
  <c r="F761" i="1"/>
  <c r="A762" i="1"/>
  <c r="E762" i="1"/>
  <c r="F762" i="1"/>
  <c r="A763" i="1"/>
  <c r="E763" i="1"/>
  <c r="F763" i="1"/>
  <c r="A764" i="1"/>
  <c r="E764" i="1"/>
  <c r="F764" i="1"/>
  <c r="A765" i="1"/>
  <c r="E765" i="1"/>
  <c r="F765" i="1"/>
  <c r="A766" i="1"/>
  <c r="E766" i="1"/>
  <c r="F766" i="1"/>
  <c r="A767" i="1"/>
  <c r="E767" i="1"/>
  <c r="F767" i="1"/>
  <c r="A768" i="1"/>
  <c r="E768" i="1"/>
  <c r="F768" i="1"/>
  <c r="A769" i="1"/>
  <c r="E769" i="1"/>
  <c r="F769" i="1"/>
  <c r="A770" i="1"/>
  <c r="E770" i="1"/>
  <c r="F770" i="1"/>
  <c r="A771" i="1"/>
  <c r="E771" i="1"/>
  <c r="F771" i="1"/>
  <c r="A772" i="1"/>
  <c r="E772" i="1"/>
  <c r="F772" i="1"/>
  <c r="A773" i="1"/>
  <c r="E773" i="1"/>
  <c r="F773" i="1"/>
  <c r="A774" i="1"/>
  <c r="E774" i="1"/>
  <c r="F774" i="1"/>
  <c r="A775" i="1"/>
  <c r="E775" i="1"/>
  <c r="F775" i="1"/>
  <c r="A776" i="1"/>
  <c r="E776" i="1"/>
  <c r="F776" i="1"/>
  <c r="A777" i="1"/>
  <c r="E777" i="1"/>
  <c r="F777" i="1"/>
  <c r="A778" i="1"/>
  <c r="E778" i="1"/>
  <c r="F778" i="1"/>
  <c r="A779" i="1"/>
  <c r="E779" i="1"/>
  <c r="F779" i="1"/>
  <c r="A780" i="1"/>
  <c r="E780" i="1"/>
  <c r="F780" i="1"/>
  <c r="A781" i="1"/>
  <c r="E781" i="1"/>
  <c r="F781" i="1"/>
  <c r="A782" i="1"/>
  <c r="E782" i="1"/>
  <c r="F782" i="1"/>
  <c r="A783" i="1"/>
  <c r="E783" i="1"/>
  <c r="F783" i="1"/>
  <c r="A784" i="1"/>
  <c r="E784" i="1"/>
  <c r="F784" i="1"/>
  <c r="A785" i="1"/>
  <c r="E785" i="1"/>
  <c r="F785" i="1"/>
  <c r="A786" i="1"/>
  <c r="E786" i="1"/>
  <c r="F786" i="1"/>
  <c r="A787" i="1"/>
  <c r="E787" i="1"/>
  <c r="F787" i="1"/>
  <c r="A788" i="1"/>
  <c r="E788" i="1"/>
  <c r="F788" i="1"/>
  <c r="A789" i="1"/>
  <c r="E789" i="1"/>
  <c r="F789" i="1"/>
  <c r="A790" i="1"/>
  <c r="E790" i="1"/>
  <c r="F790" i="1"/>
  <c r="A791" i="1"/>
  <c r="E791" i="1"/>
  <c r="F791" i="1"/>
  <c r="A792" i="1"/>
  <c r="E792" i="1"/>
  <c r="F792" i="1"/>
  <c r="A793" i="1"/>
  <c r="E793" i="1"/>
  <c r="F793" i="1"/>
  <c r="A794" i="1"/>
  <c r="E794" i="1"/>
  <c r="F794" i="1"/>
  <c r="A795" i="1"/>
  <c r="E795" i="1"/>
  <c r="F795" i="1"/>
  <c r="A796" i="1"/>
  <c r="E796" i="1"/>
  <c r="F796" i="1"/>
  <c r="A797" i="1"/>
  <c r="E797" i="1"/>
  <c r="F797" i="1"/>
  <c r="A798" i="1"/>
  <c r="E798" i="1"/>
  <c r="F798" i="1"/>
  <c r="A799" i="1"/>
  <c r="E799" i="1"/>
  <c r="F799" i="1"/>
  <c r="A800" i="1"/>
  <c r="E800" i="1"/>
  <c r="F800" i="1"/>
  <c r="A801" i="1"/>
  <c r="E801" i="1"/>
  <c r="F801" i="1"/>
  <c r="A802" i="1"/>
  <c r="E802" i="1"/>
  <c r="F802" i="1"/>
  <c r="A803" i="1"/>
  <c r="E803" i="1"/>
  <c r="F803" i="1"/>
  <c r="A804" i="1"/>
  <c r="E804" i="1"/>
  <c r="F804" i="1"/>
  <c r="A805" i="1"/>
  <c r="E805" i="1"/>
  <c r="F805" i="1"/>
  <c r="A806" i="1"/>
  <c r="E806" i="1"/>
  <c r="F806" i="1"/>
  <c r="A807" i="1"/>
  <c r="E807" i="1"/>
  <c r="F807" i="1"/>
  <c r="A808" i="1"/>
  <c r="E808" i="1"/>
  <c r="F808" i="1"/>
  <c r="A809" i="1"/>
  <c r="E809" i="1"/>
  <c r="F809" i="1"/>
  <c r="A810" i="1"/>
  <c r="E810" i="1"/>
  <c r="F810" i="1"/>
  <c r="A811" i="1"/>
  <c r="E811" i="1"/>
  <c r="F811" i="1"/>
  <c r="A812" i="1"/>
  <c r="E812" i="1"/>
  <c r="F812" i="1"/>
  <c r="A813" i="1"/>
  <c r="E813" i="1"/>
  <c r="F813" i="1"/>
  <c r="A814" i="1"/>
  <c r="E814" i="1"/>
  <c r="F814" i="1"/>
  <c r="A815" i="1"/>
  <c r="E815" i="1"/>
  <c r="F815" i="1"/>
  <c r="A816" i="1"/>
  <c r="E816" i="1"/>
  <c r="F816" i="1"/>
  <c r="A817" i="1"/>
  <c r="E817" i="1"/>
  <c r="F817" i="1"/>
  <c r="A818" i="1"/>
  <c r="E818" i="1"/>
  <c r="F818" i="1"/>
  <c r="A819" i="1"/>
  <c r="E819" i="1"/>
  <c r="F819" i="1"/>
  <c r="A820" i="1"/>
  <c r="E820" i="1"/>
  <c r="F820" i="1"/>
  <c r="A821" i="1"/>
  <c r="E821" i="1"/>
  <c r="F821" i="1"/>
  <c r="A822" i="1"/>
  <c r="E822" i="1"/>
  <c r="F822" i="1"/>
  <c r="A823" i="1"/>
  <c r="E823" i="1"/>
  <c r="F823" i="1"/>
  <c r="A824" i="1"/>
  <c r="E824" i="1"/>
  <c r="F824" i="1"/>
  <c r="A825" i="1"/>
  <c r="E825" i="1"/>
  <c r="F825" i="1"/>
  <c r="A826" i="1"/>
  <c r="E826" i="1"/>
  <c r="F826" i="1"/>
  <c r="A827" i="1"/>
  <c r="E827" i="1"/>
  <c r="F827" i="1"/>
  <c r="A828" i="1"/>
  <c r="E828" i="1"/>
  <c r="F828" i="1"/>
  <c r="A829" i="1"/>
  <c r="E829" i="1"/>
  <c r="F829" i="1"/>
  <c r="A830" i="1"/>
  <c r="E830" i="1"/>
  <c r="F830" i="1"/>
  <c r="A831" i="1"/>
  <c r="E831" i="1"/>
  <c r="F831" i="1"/>
  <c r="A832" i="1"/>
  <c r="E832" i="1"/>
  <c r="F832" i="1"/>
  <c r="A833" i="1"/>
  <c r="E833" i="1"/>
  <c r="F833" i="1"/>
  <c r="A834" i="1"/>
  <c r="E834" i="1"/>
  <c r="F834" i="1"/>
  <c r="A835" i="1"/>
  <c r="E835" i="1"/>
  <c r="F835" i="1"/>
  <c r="A836" i="1"/>
  <c r="E836" i="1"/>
  <c r="F836" i="1"/>
  <c r="A837" i="1"/>
  <c r="E837" i="1"/>
  <c r="F837" i="1"/>
  <c r="A838" i="1"/>
  <c r="E838" i="1"/>
  <c r="F838" i="1"/>
  <c r="A839" i="1"/>
  <c r="E839" i="1"/>
  <c r="F839" i="1"/>
  <c r="A840" i="1"/>
  <c r="E840" i="1"/>
  <c r="F840" i="1"/>
  <c r="A841" i="1"/>
  <c r="E841" i="1"/>
  <c r="F841" i="1"/>
  <c r="A842" i="1"/>
  <c r="E842" i="1"/>
  <c r="F842" i="1"/>
  <c r="A843" i="1"/>
  <c r="E843" i="1"/>
  <c r="F843" i="1"/>
  <c r="A844" i="1"/>
  <c r="E844" i="1"/>
  <c r="F844" i="1"/>
  <c r="A845" i="1"/>
  <c r="E845" i="1"/>
  <c r="F845" i="1"/>
  <c r="A846" i="1"/>
  <c r="E846" i="1"/>
  <c r="F846" i="1"/>
  <c r="A847" i="1"/>
  <c r="E847" i="1"/>
  <c r="F847" i="1"/>
  <c r="A848" i="1"/>
  <c r="E848" i="1"/>
  <c r="F848" i="1"/>
  <c r="A849" i="1"/>
  <c r="E849" i="1"/>
  <c r="F849" i="1"/>
  <c r="A850" i="1"/>
  <c r="E850" i="1"/>
  <c r="F850" i="1"/>
  <c r="A851" i="1"/>
  <c r="E851" i="1"/>
  <c r="F851" i="1"/>
  <c r="A852" i="1"/>
  <c r="E852" i="1"/>
  <c r="F852" i="1"/>
  <c r="A853" i="1"/>
  <c r="E853" i="1"/>
  <c r="F853" i="1"/>
  <c r="A854" i="1"/>
  <c r="E854" i="1"/>
  <c r="F854" i="1"/>
  <c r="A855" i="1"/>
  <c r="E855" i="1"/>
  <c r="F855" i="1"/>
  <c r="A856" i="1"/>
  <c r="E856" i="1"/>
  <c r="F856" i="1"/>
  <c r="A857" i="1"/>
  <c r="E857" i="1"/>
  <c r="F857" i="1"/>
  <c r="A858" i="1"/>
  <c r="E858" i="1"/>
  <c r="F858" i="1"/>
  <c r="A859" i="1"/>
  <c r="E859" i="1"/>
  <c r="F859" i="1"/>
  <c r="A860" i="1"/>
  <c r="E860" i="1"/>
  <c r="F860" i="1"/>
  <c r="A861" i="1"/>
  <c r="E861" i="1"/>
  <c r="F861" i="1"/>
  <c r="A862" i="1"/>
  <c r="E862" i="1"/>
  <c r="F862" i="1"/>
  <c r="A863" i="1"/>
  <c r="E863" i="1"/>
  <c r="F863" i="1"/>
  <c r="A864" i="1"/>
  <c r="E864" i="1"/>
  <c r="F864" i="1"/>
  <c r="A865" i="1"/>
  <c r="E865" i="1"/>
  <c r="F865" i="1"/>
  <c r="A866" i="1"/>
  <c r="E866" i="1"/>
  <c r="F866" i="1"/>
  <c r="A867" i="1"/>
  <c r="E867" i="1"/>
  <c r="F867" i="1"/>
  <c r="A868" i="1"/>
  <c r="E868" i="1"/>
  <c r="F868" i="1"/>
  <c r="A869" i="1"/>
  <c r="E869" i="1"/>
  <c r="F869" i="1"/>
  <c r="A870" i="1"/>
  <c r="E870" i="1"/>
  <c r="F870" i="1"/>
  <c r="A871" i="1"/>
  <c r="E871" i="1"/>
  <c r="F871" i="1"/>
  <c r="A872" i="1"/>
  <c r="E872" i="1"/>
  <c r="F872" i="1"/>
  <c r="A873" i="1"/>
  <c r="E873" i="1"/>
  <c r="F873" i="1"/>
  <c r="A874" i="1"/>
  <c r="E874" i="1"/>
  <c r="F874" i="1"/>
  <c r="A875" i="1"/>
  <c r="E875" i="1"/>
  <c r="F875" i="1"/>
  <c r="A876" i="1"/>
  <c r="E876" i="1"/>
  <c r="F876" i="1"/>
  <c r="A877" i="1"/>
  <c r="E877" i="1"/>
  <c r="F877" i="1"/>
  <c r="A878" i="1"/>
  <c r="E878" i="1"/>
  <c r="F878" i="1"/>
  <c r="A879" i="1"/>
  <c r="E879" i="1"/>
  <c r="F879" i="1"/>
  <c r="A880" i="1"/>
  <c r="E880" i="1"/>
  <c r="F880" i="1"/>
  <c r="A881" i="1"/>
  <c r="E881" i="1"/>
  <c r="F881" i="1"/>
  <c r="A882" i="1"/>
  <c r="E882" i="1"/>
  <c r="F882" i="1"/>
  <c r="A883" i="1"/>
  <c r="E883" i="1"/>
  <c r="F883" i="1"/>
  <c r="A884" i="1"/>
  <c r="E884" i="1"/>
  <c r="F884" i="1"/>
  <c r="A885" i="1"/>
  <c r="E885" i="1"/>
  <c r="F885" i="1"/>
  <c r="A886" i="1"/>
  <c r="E886" i="1"/>
  <c r="F886" i="1"/>
  <c r="A887" i="1"/>
  <c r="E887" i="1"/>
  <c r="F887" i="1"/>
  <c r="A888" i="1"/>
  <c r="E888" i="1"/>
  <c r="F888" i="1"/>
  <c r="A889" i="1"/>
  <c r="E889" i="1"/>
  <c r="F889" i="1"/>
  <c r="A890" i="1"/>
  <c r="E890" i="1"/>
  <c r="F890" i="1"/>
  <c r="A891" i="1"/>
  <c r="E891" i="1"/>
  <c r="F891" i="1"/>
  <c r="A892" i="1"/>
  <c r="E892" i="1"/>
  <c r="F892" i="1"/>
  <c r="A893" i="1"/>
  <c r="E893" i="1"/>
  <c r="F893" i="1"/>
  <c r="A894" i="1"/>
  <c r="E894" i="1"/>
  <c r="F894" i="1"/>
  <c r="A895" i="1"/>
  <c r="E895" i="1"/>
  <c r="F895" i="1"/>
  <c r="A896" i="1"/>
  <c r="E896" i="1"/>
  <c r="F896" i="1"/>
  <c r="A897" i="1"/>
  <c r="E897" i="1"/>
  <c r="F897" i="1"/>
  <c r="A898" i="1"/>
  <c r="E898" i="1"/>
  <c r="F898" i="1"/>
  <c r="A899" i="1"/>
  <c r="E899" i="1"/>
  <c r="F899" i="1"/>
  <c r="A900" i="1"/>
  <c r="E900" i="1"/>
  <c r="F900" i="1"/>
  <c r="A901" i="1"/>
  <c r="E901" i="1"/>
  <c r="F901" i="1"/>
  <c r="A902" i="1"/>
  <c r="E902" i="1"/>
  <c r="F902" i="1"/>
  <c r="A903" i="1"/>
  <c r="E903" i="1"/>
  <c r="F903" i="1"/>
  <c r="A904" i="1"/>
  <c r="E904" i="1"/>
  <c r="F904" i="1"/>
  <c r="A905" i="1"/>
  <c r="E905" i="1"/>
  <c r="F905" i="1"/>
  <c r="A906" i="1"/>
  <c r="E906" i="1"/>
  <c r="F906" i="1"/>
  <c r="A907" i="1"/>
  <c r="E907" i="1"/>
  <c r="F907" i="1"/>
  <c r="A908" i="1"/>
  <c r="E908" i="1"/>
  <c r="F908" i="1"/>
  <c r="A909" i="1"/>
  <c r="E909" i="1"/>
  <c r="F909" i="1"/>
  <c r="A910" i="1"/>
  <c r="E910" i="1"/>
  <c r="F910" i="1"/>
  <c r="A911" i="1"/>
  <c r="E911" i="1"/>
  <c r="F911" i="1"/>
  <c r="A912" i="1"/>
  <c r="E912" i="1"/>
  <c r="F912" i="1"/>
  <c r="A913" i="1"/>
  <c r="E913" i="1"/>
  <c r="F913" i="1"/>
  <c r="A914" i="1"/>
  <c r="E914" i="1"/>
  <c r="F914" i="1"/>
  <c r="A915" i="1"/>
  <c r="E915" i="1"/>
  <c r="F915" i="1"/>
  <c r="A916" i="1"/>
  <c r="E916" i="1"/>
  <c r="F916" i="1"/>
  <c r="A917" i="1"/>
  <c r="E917" i="1"/>
  <c r="F917" i="1"/>
  <c r="A918" i="1"/>
  <c r="E918" i="1"/>
  <c r="F918" i="1"/>
  <c r="A919" i="1"/>
  <c r="E919" i="1"/>
  <c r="F919" i="1"/>
  <c r="A920" i="1"/>
  <c r="E920" i="1"/>
  <c r="F920" i="1"/>
  <c r="A921" i="1"/>
  <c r="E921" i="1"/>
  <c r="F921" i="1"/>
  <c r="A922" i="1"/>
  <c r="E922" i="1"/>
  <c r="F922" i="1"/>
  <c r="A923" i="1"/>
  <c r="E923" i="1"/>
  <c r="F923" i="1"/>
  <c r="A924" i="1"/>
  <c r="E924" i="1"/>
  <c r="F924" i="1"/>
  <c r="A925" i="1"/>
  <c r="E925" i="1"/>
  <c r="F925" i="1"/>
  <c r="A926" i="1"/>
  <c r="E926" i="1"/>
  <c r="F926" i="1"/>
  <c r="A927" i="1"/>
  <c r="E927" i="1"/>
  <c r="F927" i="1"/>
  <c r="A928" i="1"/>
  <c r="E928" i="1"/>
  <c r="F928" i="1"/>
  <c r="A929" i="1"/>
  <c r="E929" i="1"/>
  <c r="F929" i="1"/>
  <c r="A930" i="1"/>
  <c r="E930" i="1"/>
  <c r="F930" i="1"/>
  <c r="A931" i="1"/>
  <c r="E931" i="1"/>
  <c r="F931" i="1"/>
  <c r="A932" i="1"/>
  <c r="E932" i="1"/>
  <c r="F932" i="1"/>
  <c r="A933" i="1"/>
  <c r="E933" i="1"/>
  <c r="F933" i="1"/>
  <c r="A934" i="1"/>
  <c r="E934" i="1"/>
  <c r="F934" i="1"/>
  <c r="A935" i="1"/>
  <c r="E935" i="1"/>
  <c r="F935" i="1"/>
  <c r="A936" i="1"/>
  <c r="E936" i="1"/>
  <c r="F936" i="1"/>
  <c r="A937" i="1"/>
  <c r="E937" i="1"/>
  <c r="F937" i="1"/>
  <c r="A938" i="1"/>
  <c r="E938" i="1"/>
  <c r="F938" i="1"/>
  <c r="A939" i="1"/>
  <c r="E939" i="1"/>
  <c r="F939" i="1"/>
  <c r="A940" i="1"/>
  <c r="E940" i="1"/>
  <c r="F940" i="1"/>
  <c r="A941" i="1"/>
  <c r="E941" i="1"/>
  <c r="F941" i="1"/>
  <c r="A942" i="1"/>
  <c r="E942" i="1"/>
  <c r="F942" i="1"/>
  <c r="A943" i="1"/>
  <c r="E943" i="1"/>
  <c r="F943" i="1"/>
  <c r="A944" i="1"/>
  <c r="E944" i="1"/>
  <c r="F944" i="1"/>
  <c r="A945" i="1"/>
  <c r="E945" i="1"/>
  <c r="F945" i="1"/>
  <c r="A946" i="1"/>
  <c r="E946" i="1"/>
  <c r="F946" i="1"/>
  <c r="A947" i="1"/>
  <c r="E947" i="1"/>
  <c r="F947" i="1"/>
  <c r="A948" i="1"/>
  <c r="E948" i="1"/>
  <c r="F948" i="1"/>
  <c r="A949" i="1"/>
  <c r="E949" i="1"/>
  <c r="F949" i="1"/>
  <c r="A950" i="1"/>
  <c r="E950" i="1"/>
  <c r="F950" i="1"/>
  <c r="A951" i="1"/>
  <c r="E951" i="1"/>
  <c r="F951" i="1"/>
  <c r="A952" i="1"/>
  <c r="E952" i="1"/>
  <c r="F952" i="1"/>
  <c r="A953" i="1"/>
  <c r="E953" i="1"/>
  <c r="F953" i="1"/>
  <c r="A954" i="1"/>
  <c r="E954" i="1"/>
  <c r="F954" i="1"/>
  <c r="A955" i="1"/>
  <c r="E955" i="1"/>
  <c r="F955" i="1"/>
  <c r="A956" i="1"/>
  <c r="E956" i="1"/>
  <c r="F956" i="1"/>
  <c r="A957" i="1"/>
  <c r="E957" i="1"/>
  <c r="F957" i="1"/>
  <c r="A958" i="1"/>
  <c r="E958" i="1"/>
  <c r="F958" i="1"/>
  <c r="A959" i="1"/>
  <c r="E959" i="1"/>
  <c r="F959" i="1"/>
  <c r="A960" i="1"/>
  <c r="E960" i="1"/>
  <c r="F960" i="1"/>
  <c r="A961" i="1"/>
  <c r="E961" i="1"/>
  <c r="F961" i="1"/>
  <c r="A962" i="1"/>
  <c r="E962" i="1"/>
  <c r="F962" i="1"/>
  <c r="A963" i="1"/>
  <c r="E963" i="1"/>
  <c r="F963" i="1"/>
  <c r="A964" i="1"/>
  <c r="E964" i="1"/>
  <c r="F964" i="1"/>
  <c r="A965" i="1"/>
  <c r="E965" i="1"/>
  <c r="F965" i="1"/>
  <c r="A966" i="1"/>
  <c r="E966" i="1"/>
  <c r="F966" i="1"/>
  <c r="A967" i="1"/>
  <c r="E967" i="1"/>
  <c r="F967" i="1"/>
  <c r="A968" i="1"/>
  <c r="E968" i="1"/>
  <c r="F968" i="1"/>
  <c r="A969" i="1"/>
  <c r="E969" i="1"/>
  <c r="F969" i="1"/>
  <c r="A970" i="1"/>
  <c r="E970" i="1"/>
  <c r="F970" i="1"/>
  <c r="A971" i="1"/>
  <c r="E971" i="1"/>
  <c r="F971" i="1"/>
  <c r="A972" i="1"/>
  <c r="E972" i="1"/>
  <c r="F972" i="1"/>
  <c r="A973" i="1"/>
  <c r="E973" i="1"/>
  <c r="F973" i="1"/>
  <c r="A974" i="1"/>
  <c r="E974" i="1"/>
  <c r="F974" i="1"/>
  <c r="A975" i="1"/>
  <c r="E975" i="1"/>
  <c r="F975" i="1"/>
  <c r="A976" i="1"/>
  <c r="E976" i="1"/>
  <c r="F976" i="1"/>
  <c r="A977" i="1"/>
  <c r="E977" i="1"/>
  <c r="F977" i="1"/>
  <c r="A978" i="1"/>
  <c r="E978" i="1"/>
  <c r="F978" i="1"/>
  <c r="A979" i="1"/>
  <c r="E979" i="1"/>
  <c r="F979" i="1"/>
  <c r="A980" i="1"/>
  <c r="E980" i="1"/>
  <c r="F980" i="1"/>
  <c r="A981" i="1"/>
  <c r="E981" i="1"/>
  <c r="F981" i="1"/>
  <c r="A982" i="1"/>
  <c r="E982" i="1"/>
  <c r="F982" i="1"/>
  <c r="A983" i="1"/>
  <c r="E983" i="1"/>
  <c r="F983" i="1"/>
  <c r="A984" i="1"/>
  <c r="E984" i="1"/>
  <c r="F984" i="1"/>
  <c r="A985" i="1"/>
  <c r="E985" i="1"/>
  <c r="F985" i="1"/>
  <c r="A986" i="1"/>
  <c r="E986" i="1"/>
  <c r="F986" i="1"/>
  <c r="A987" i="1"/>
  <c r="E987" i="1"/>
  <c r="F987" i="1"/>
  <c r="A988" i="1"/>
  <c r="E988" i="1"/>
  <c r="F988" i="1"/>
  <c r="A989" i="1"/>
  <c r="E989" i="1"/>
  <c r="F989" i="1"/>
  <c r="A990" i="1"/>
  <c r="E990" i="1"/>
  <c r="F990" i="1"/>
  <c r="A991" i="1"/>
  <c r="E991" i="1"/>
  <c r="F991" i="1"/>
  <c r="A992" i="1"/>
  <c r="E992" i="1"/>
  <c r="F992" i="1"/>
  <c r="A993" i="1"/>
  <c r="E993" i="1"/>
  <c r="F993" i="1"/>
  <c r="A994" i="1"/>
  <c r="E994" i="1"/>
  <c r="F994" i="1"/>
  <c r="A995" i="1"/>
  <c r="E995" i="1"/>
  <c r="F995" i="1"/>
  <c r="A996" i="1"/>
  <c r="E996" i="1"/>
  <c r="F996" i="1"/>
  <c r="A997" i="1"/>
  <c r="E997" i="1"/>
  <c r="F997" i="1"/>
  <c r="A998" i="1"/>
  <c r="E998" i="1"/>
  <c r="F998" i="1"/>
  <c r="A999" i="1"/>
  <c r="E999" i="1"/>
  <c r="F999" i="1"/>
  <c r="A1000" i="1"/>
  <c r="E1000" i="1"/>
  <c r="F1000" i="1"/>
  <c r="A378" i="1"/>
  <c r="A379" i="1" s="1"/>
  <c r="A380" i="1" s="1"/>
  <c r="A381" i="1" s="1"/>
  <c r="A382" i="1" s="1"/>
  <c r="A383" i="1" s="1"/>
  <c r="A384" i="1" s="1"/>
  <c r="A175" i="1"/>
  <c r="A176" i="1"/>
  <c r="A177" i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E177" i="1"/>
  <c r="F177" i="1"/>
  <c r="G177" i="1" s="1"/>
  <c r="E178" i="1"/>
  <c r="F178" i="1"/>
  <c r="G178" i="1" s="1"/>
  <c r="E179" i="1"/>
  <c r="G179" i="1"/>
  <c r="E180" i="1"/>
  <c r="G180" i="1"/>
  <c r="E181" i="1"/>
  <c r="G181" i="1"/>
  <c r="E182" i="1"/>
  <c r="F182" i="1"/>
  <c r="G182" i="1" s="1"/>
  <c r="E183" i="1"/>
  <c r="F183" i="1"/>
  <c r="G183" i="1" s="1"/>
  <c r="E184" i="1"/>
  <c r="F184" i="1"/>
  <c r="G184" i="1" s="1"/>
  <c r="E185" i="1"/>
  <c r="G185" i="1"/>
  <c r="E186" i="1"/>
  <c r="F186" i="1"/>
  <c r="G186" i="1" s="1"/>
  <c r="E187" i="1"/>
  <c r="G187" i="1"/>
  <c r="E188" i="1"/>
  <c r="G188" i="1"/>
  <c r="E189" i="1"/>
  <c r="F189" i="1"/>
  <c r="G189" i="1" s="1"/>
  <c r="E190" i="1"/>
  <c r="A191" i="1"/>
  <c r="A192" i="1" s="1"/>
  <c r="A193" i="1" s="1"/>
  <c r="E191" i="1"/>
  <c r="F191" i="1"/>
  <c r="G191" i="1" s="1"/>
  <c r="E192" i="1"/>
  <c r="F192" i="1"/>
  <c r="G192" i="1" s="1"/>
  <c r="E193" i="1"/>
  <c r="F193" i="1"/>
  <c r="G193" i="1" s="1"/>
  <c r="A194" i="1"/>
  <c r="A195" i="1" s="1"/>
  <c r="A196" i="1" s="1"/>
  <c r="A197" i="1" s="1"/>
  <c r="A198" i="1" s="1"/>
  <c r="A199" i="1" s="1"/>
  <c r="A200" i="1" s="1"/>
  <c r="A201" i="1" s="1"/>
  <c r="A202" i="1" s="1"/>
  <c r="A203" i="1" s="1"/>
  <c r="E194" i="1"/>
  <c r="F194" i="1"/>
  <c r="G194" i="1" s="1"/>
  <c r="E195" i="1"/>
  <c r="G195" i="1"/>
  <c r="E196" i="1"/>
  <c r="F196" i="1"/>
  <c r="G196" i="1" s="1"/>
  <c r="E197" i="1"/>
  <c r="F197" i="1"/>
  <c r="G197" i="1" s="1"/>
  <c r="E198" i="1"/>
  <c r="G198" i="1"/>
  <c r="E199" i="1"/>
  <c r="G199" i="1"/>
  <c r="E200" i="1"/>
  <c r="F200" i="1"/>
  <c r="G200" i="1" s="1"/>
  <c r="E204" i="1"/>
  <c r="A205" i="1"/>
  <c r="A206" i="1" s="1"/>
  <c r="A207" i="1" s="1"/>
  <c r="A208" i="1" s="1"/>
  <c r="E205" i="1"/>
  <c r="G205" i="1"/>
  <c r="E206" i="1"/>
  <c r="F206" i="1"/>
  <c r="G206" i="1" s="1"/>
  <c r="E208" i="1"/>
  <c r="G208" i="1"/>
  <c r="A209" i="1"/>
  <c r="A210" i="1" s="1"/>
  <c r="A211" i="1" s="1"/>
  <c r="E209" i="1"/>
  <c r="F209" i="1"/>
  <c r="G209" i="1" s="1"/>
  <c r="E210" i="1"/>
  <c r="G210" i="1"/>
  <c r="E211" i="1"/>
  <c r="F211" i="1"/>
  <c r="E212" i="1"/>
  <c r="F212" i="1"/>
  <c r="A213" i="1"/>
  <c r="A214" i="1" s="1"/>
  <c r="A215" i="1" s="1"/>
  <c r="A216" i="1" s="1"/>
  <c r="A217" i="1" s="1"/>
  <c r="A218" i="1" s="1"/>
  <c r="A219" i="1" s="1"/>
  <c r="E213" i="1"/>
  <c r="E214" i="1"/>
  <c r="F214" i="1"/>
  <c r="G214" i="1" s="1"/>
  <c r="E215" i="1"/>
  <c r="F215" i="1"/>
  <c r="E216" i="1"/>
  <c r="F216" i="1"/>
  <c r="G216" i="1" s="1"/>
  <c r="E219" i="1"/>
  <c r="F219" i="1"/>
  <c r="G219" i="1" s="1"/>
  <c r="E220" i="1"/>
  <c r="F220" i="1"/>
  <c r="A221" i="1"/>
  <c r="A222" i="1" s="1"/>
  <c r="A223" i="1" s="1"/>
  <c r="A224" i="1" s="1"/>
  <c r="A225" i="1" s="1"/>
  <c r="A226" i="1" s="1"/>
  <c r="A227" i="1" s="1"/>
  <c r="A228" i="1" s="1"/>
  <c r="A229" i="1" s="1"/>
  <c r="E221" i="1"/>
  <c r="F221" i="1"/>
  <c r="E222" i="1"/>
  <c r="F222" i="1"/>
  <c r="E223" i="1"/>
  <c r="E224" i="1"/>
  <c r="E225" i="1"/>
  <c r="E226" i="1"/>
  <c r="F226" i="1"/>
  <c r="E227" i="1"/>
  <c r="E228" i="1"/>
  <c r="A231" i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E232" i="1"/>
  <c r="E233" i="1"/>
  <c r="E235" i="1"/>
  <c r="E237" i="1"/>
  <c r="E238" i="1"/>
  <c r="E240" i="1"/>
  <c r="F240" i="1"/>
  <c r="E241" i="1"/>
  <c r="F241" i="1"/>
  <c r="E242" i="1"/>
  <c r="A243" i="1"/>
  <c r="E243" i="1"/>
  <c r="F243" i="1"/>
  <c r="A244" i="1"/>
  <c r="A245" i="1" s="1"/>
  <c r="A246" i="1" s="1"/>
  <c r="A247" i="1" s="1"/>
  <c r="A248" i="1" s="1"/>
  <c r="A249" i="1" s="1"/>
  <c r="E244" i="1"/>
  <c r="F244" i="1"/>
  <c r="E245" i="1"/>
  <c r="F245" i="1"/>
  <c r="E246" i="1"/>
  <c r="F246" i="1"/>
  <c r="E247" i="1"/>
  <c r="F247" i="1"/>
  <c r="E248" i="1"/>
  <c r="E249" i="1"/>
  <c r="E250" i="1"/>
  <c r="A251" i="1"/>
  <c r="A252" i="1" s="1"/>
  <c r="A253" i="1" s="1"/>
  <c r="A254" i="1" s="1"/>
  <c r="A255" i="1" s="1"/>
  <c r="A256" i="1" s="1"/>
  <c r="A257" i="1" s="1"/>
  <c r="A258" i="1" s="1"/>
  <c r="E251" i="1"/>
  <c r="F251" i="1"/>
  <c r="E252" i="1"/>
  <c r="F252" i="1"/>
  <c r="E253" i="1"/>
  <c r="F253" i="1"/>
  <c r="E254" i="1"/>
  <c r="E255" i="1"/>
  <c r="E256" i="1"/>
  <c r="G256" i="1"/>
  <c r="E257" i="1"/>
  <c r="E258" i="1"/>
  <c r="F258" i="1"/>
  <c r="E259" i="1"/>
  <c r="F259" i="1"/>
  <c r="A260" i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E260" i="1"/>
  <c r="E261" i="1"/>
  <c r="F261" i="1"/>
  <c r="E262" i="1"/>
  <c r="F262" i="1"/>
  <c r="E263" i="1"/>
  <c r="E264" i="1"/>
  <c r="E265" i="1"/>
  <c r="E266" i="1"/>
  <c r="F266" i="1"/>
  <c r="E267" i="1"/>
  <c r="F267" i="1"/>
  <c r="E268" i="1"/>
  <c r="E269" i="1"/>
  <c r="E270" i="1"/>
  <c r="F270" i="1"/>
  <c r="E271" i="1"/>
  <c r="F271" i="1"/>
  <c r="E272" i="1"/>
  <c r="F272" i="1"/>
  <c r="A273" i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E273" i="1"/>
  <c r="F273" i="1"/>
  <c r="E274" i="1"/>
  <c r="E275" i="1"/>
  <c r="F275" i="1"/>
  <c r="E276" i="1"/>
  <c r="F276" i="1"/>
  <c r="E277" i="1"/>
  <c r="E278" i="1"/>
  <c r="E279" i="1"/>
  <c r="E280" i="1"/>
  <c r="E281" i="1"/>
  <c r="E282" i="1"/>
  <c r="E283" i="1"/>
  <c r="E284" i="1"/>
  <c r="E285" i="1"/>
  <c r="F285" i="1"/>
  <c r="A286" i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E286" i="1"/>
  <c r="F286" i="1"/>
  <c r="E287" i="1"/>
  <c r="F287" i="1"/>
  <c r="E288" i="1"/>
  <c r="E289" i="1"/>
  <c r="F289" i="1"/>
  <c r="E290" i="1"/>
  <c r="E291" i="1"/>
  <c r="F291" i="1"/>
  <c r="E292" i="1"/>
  <c r="F292" i="1"/>
  <c r="E293" i="1"/>
  <c r="F293" i="1"/>
  <c r="E294" i="1"/>
  <c r="E295" i="1"/>
  <c r="E296" i="1"/>
  <c r="E297" i="1"/>
  <c r="F297" i="1"/>
  <c r="A298" i="1"/>
  <c r="A299" i="1"/>
  <c r="A300" i="1" s="1"/>
  <c r="A301" i="1" s="1"/>
  <c r="E299" i="1"/>
  <c r="E300" i="1"/>
  <c r="F300" i="1"/>
  <c r="E301" i="1"/>
  <c r="E302" i="1"/>
  <c r="A303" i="1"/>
  <c r="A304" i="1" s="1"/>
  <c r="A305" i="1" s="1"/>
  <c r="A306" i="1" s="1"/>
  <c r="A307" i="1" s="1"/>
  <c r="A308" i="1" s="1"/>
  <c r="A309" i="1" s="1"/>
  <c r="A310" i="1" s="1"/>
  <c r="E303" i="1"/>
  <c r="F303" i="1"/>
  <c r="E304" i="1"/>
  <c r="E305" i="1"/>
  <c r="F305" i="1"/>
  <c r="E306" i="1"/>
  <c r="E307" i="1"/>
  <c r="E308" i="1"/>
  <c r="F308" i="1"/>
  <c r="E309" i="1"/>
  <c r="F309" i="1"/>
  <c r="E311" i="1"/>
  <c r="A312" i="1"/>
  <c r="A313" i="1" s="1"/>
  <c r="A314" i="1" s="1"/>
  <c r="A315" i="1" s="1"/>
  <c r="A316" i="1" s="1"/>
  <c r="A317" i="1" s="1"/>
  <c r="A318" i="1" s="1"/>
  <c r="A319" i="1" s="1"/>
  <c r="A320" i="1" s="1"/>
  <c r="A321" i="1" s="1"/>
  <c r="E312" i="1"/>
  <c r="E313" i="1"/>
  <c r="E314" i="1"/>
  <c r="F314" i="1"/>
  <c r="E315" i="1"/>
  <c r="E316" i="1"/>
  <c r="F316" i="1"/>
  <c r="E317" i="1"/>
  <c r="F317" i="1"/>
  <c r="E318" i="1"/>
  <c r="F318" i="1"/>
  <c r="E319" i="1"/>
  <c r="E320" i="1"/>
  <c r="E321" i="1"/>
  <c r="E322" i="1"/>
  <c r="F322" i="1"/>
  <c r="A323" i="1"/>
  <c r="E323" i="1"/>
  <c r="F323" i="1"/>
  <c r="A324" i="1"/>
  <c r="A325" i="1" s="1"/>
  <c r="A326" i="1" s="1"/>
  <c r="A327" i="1" s="1"/>
  <c r="A328" i="1" s="1"/>
  <c r="A329" i="1" s="1"/>
  <c r="A330" i="1" s="1"/>
  <c r="A331" i="1" s="1"/>
  <c r="E324" i="1"/>
  <c r="F324" i="1"/>
  <c r="E325" i="1"/>
  <c r="E326" i="1"/>
  <c r="F326" i="1"/>
  <c r="E327" i="1"/>
  <c r="E328" i="1"/>
  <c r="F328" i="1"/>
  <c r="E329" i="1"/>
  <c r="E330" i="1"/>
  <c r="E331" i="1"/>
  <c r="E332" i="1"/>
  <c r="F332" i="1"/>
  <c r="A333" i="1"/>
  <c r="A334" i="1" s="1"/>
  <c r="A335" i="1" s="1"/>
  <c r="A336" i="1" s="1"/>
  <c r="A337" i="1" s="1"/>
  <c r="E333" i="1"/>
  <c r="F333" i="1"/>
  <c r="E334" i="1"/>
  <c r="F334" i="1"/>
  <c r="E335" i="1"/>
  <c r="F335" i="1"/>
  <c r="E336" i="1"/>
  <c r="E337" i="1"/>
  <c r="E338" i="1"/>
  <c r="F338" i="1"/>
  <c r="A339" i="1"/>
  <c r="E339" i="1"/>
  <c r="F339" i="1"/>
  <c r="A340" i="1"/>
  <c r="A341" i="1" s="1"/>
  <c r="A342" i="1" s="1"/>
  <c r="A343" i="1" s="1"/>
  <c r="A344" i="1" s="1"/>
  <c r="E340" i="1"/>
  <c r="F340" i="1"/>
  <c r="E341" i="1"/>
  <c r="E342" i="1"/>
  <c r="E343" i="1"/>
  <c r="E344" i="1"/>
  <c r="E345" i="1"/>
  <c r="A346" i="1"/>
  <c r="A347" i="1" s="1"/>
  <c r="A348" i="1" s="1"/>
  <c r="A349" i="1" s="1"/>
  <c r="A350" i="1" s="1"/>
  <c r="E346" i="1"/>
  <c r="E347" i="1"/>
  <c r="F347" i="1"/>
  <c r="E348" i="1"/>
  <c r="E349" i="1"/>
  <c r="E350" i="1"/>
  <c r="E351" i="1"/>
  <c r="F351" i="1"/>
  <c r="A352" i="1"/>
  <c r="E352" i="1"/>
  <c r="F352" i="1"/>
  <c r="A353" i="1"/>
  <c r="E353" i="1"/>
  <c r="A354" i="1"/>
  <c r="E354" i="1"/>
  <c r="F354" i="1"/>
  <c r="A355" i="1"/>
  <c r="A356" i="1" s="1"/>
  <c r="A357" i="1" s="1"/>
  <c r="E355" i="1"/>
  <c r="F355" i="1"/>
  <c r="E356" i="1"/>
  <c r="F356" i="1"/>
  <c r="E357" i="1"/>
  <c r="F357" i="1"/>
  <c r="E358" i="1"/>
  <c r="F358" i="1"/>
  <c r="A359" i="1"/>
  <c r="A360" i="1" s="1"/>
  <c r="A361" i="1" s="1"/>
  <c r="E359" i="1"/>
  <c r="F359" i="1"/>
  <c r="E360" i="1"/>
  <c r="F360" i="1"/>
  <c r="E361" i="1"/>
  <c r="E362" i="1"/>
  <c r="A363" i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E363" i="1"/>
  <c r="F363" i="1"/>
  <c r="E364" i="1"/>
  <c r="F364" i="1"/>
  <c r="E365" i="1"/>
  <c r="F365" i="1"/>
  <c r="E366" i="1"/>
  <c r="F366" i="1"/>
  <c r="E367" i="1"/>
  <c r="E374" i="1"/>
  <c r="F374" i="1"/>
  <c r="A375" i="1"/>
  <c r="A376" i="1" s="1"/>
  <c r="E375" i="1"/>
  <c r="E376" i="1"/>
  <c r="E377" i="1"/>
  <c r="F377" i="1"/>
  <c r="E378" i="1"/>
  <c r="F378" i="1"/>
  <c r="E379" i="1"/>
  <c r="E380" i="1"/>
  <c r="E381" i="1"/>
  <c r="E382" i="1"/>
  <c r="E383" i="1"/>
  <c r="E384" i="1"/>
  <c r="E385" i="1"/>
  <c r="F385" i="1"/>
  <c r="A386" i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E386" i="1"/>
  <c r="E387" i="1"/>
  <c r="F387" i="1"/>
  <c r="E388" i="1"/>
  <c r="E389" i="1"/>
  <c r="E390" i="1"/>
  <c r="E391" i="1"/>
  <c r="E392" i="1"/>
  <c r="F392" i="1"/>
  <c r="E393" i="1"/>
  <c r="E394" i="1"/>
  <c r="E395" i="1"/>
  <c r="F395" i="1"/>
  <c r="E397" i="1"/>
  <c r="F397" i="1"/>
  <c r="A398" i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E398" i="1"/>
  <c r="F398" i="1"/>
  <c r="E399" i="1"/>
  <c r="F399" i="1"/>
  <c r="E400" i="1"/>
  <c r="F400" i="1"/>
  <c r="E401" i="1"/>
  <c r="E402" i="1"/>
  <c r="E403" i="1"/>
  <c r="E404" i="1"/>
  <c r="E405" i="1"/>
  <c r="F405" i="1"/>
  <c r="E406" i="1"/>
  <c r="E407" i="1"/>
  <c r="F407" i="1"/>
  <c r="E408" i="1"/>
  <c r="F408" i="1"/>
  <c r="E409" i="1"/>
  <c r="A410" i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E410" i="1"/>
  <c r="E411" i="1"/>
  <c r="E412" i="1"/>
  <c r="E413" i="1"/>
  <c r="E414" i="1"/>
  <c r="E415" i="1"/>
  <c r="E416" i="1"/>
  <c r="E417" i="1"/>
  <c r="F417" i="1"/>
  <c r="E419" i="1"/>
  <c r="E420" i="1"/>
  <c r="E421" i="1"/>
  <c r="E422" i="1"/>
  <c r="A423" i="1"/>
  <c r="A424" i="1" s="1"/>
  <c r="A425" i="1" s="1"/>
  <c r="E423" i="1"/>
  <c r="E424" i="1"/>
  <c r="E425" i="1"/>
  <c r="F425" i="1"/>
  <c r="A426" i="1"/>
  <c r="A427" i="1" s="1"/>
  <c r="E426" i="1"/>
  <c r="E427" i="1"/>
  <c r="E428" i="1"/>
  <c r="F428" i="1"/>
  <c r="A429" i="1"/>
  <c r="E429" i="1"/>
  <c r="F429" i="1"/>
  <c r="A430" i="1"/>
  <c r="A431" i="1" s="1"/>
  <c r="A432" i="1" s="1"/>
  <c r="E430" i="1"/>
  <c r="E431" i="1"/>
  <c r="E432" i="1"/>
  <c r="A433" i="1"/>
  <c r="A434" i="1" s="1"/>
  <c r="A435" i="1" s="1"/>
  <c r="A436" i="1" s="1"/>
  <c r="E433" i="1"/>
  <c r="E434" i="1"/>
  <c r="E435" i="1"/>
  <c r="F435" i="1"/>
  <c r="E436" i="1"/>
  <c r="F436" i="1"/>
  <c r="E437" i="1"/>
  <c r="F437" i="1"/>
  <c r="A438" i="1"/>
  <c r="E438" i="1"/>
  <c r="F438" i="1"/>
  <c r="A439" i="1"/>
  <c r="A440" i="1" s="1"/>
  <c r="A441" i="1" s="1"/>
  <c r="A442" i="1" s="1"/>
  <c r="A443" i="1" s="1"/>
  <c r="A444" i="1" s="1"/>
  <c r="A445" i="1" s="1"/>
  <c r="A446" i="1" s="1"/>
  <c r="A447" i="1" s="1"/>
  <c r="A448" i="1" s="1"/>
  <c r="E439" i="1"/>
  <c r="F439" i="1"/>
  <c r="E440" i="1"/>
  <c r="E441" i="1"/>
  <c r="E442" i="1"/>
  <c r="E443" i="1"/>
  <c r="F443" i="1"/>
  <c r="E444" i="1"/>
  <c r="E445" i="1"/>
  <c r="E446" i="1"/>
  <c r="E447" i="1"/>
  <c r="F447" i="1"/>
  <c r="E448" i="1"/>
  <c r="F448" i="1"/>
  <c r="E449" i="1"/>
  <c r="F449" i="1"/>
  <c r="G147" i="1"/>
  <c r="G73" i="1"/>
  <c r="E73" i="1"/>
  <c r="G30" i="1"/>
  <c r="G31" i="1"/>
  <c r="A1" i="2" a="1"/>
  <c r="G2" i="1"/>
  <c r="G3" i="1"/>
  <c r="G4" i="1"/>
  <c r="G5" i="1"/>
  <c r="G6" i="1"/>
  <c r="G7" i="1"/>
  <c r="G8" i="1"/>
  <c r="G9" i="1"/>
  <c r="A25" i="1"/>
  <c r="A26" i="1" s="1"/>
  <c r="A27" i="1" s="1"/>
  <c r="A28" i="1" s="1"/>
  <c r="A29" i="1" s="1"/>
  <c r="A32" i="1" s="1"/>
  <c r="A33" i="1" s="1"/>
  <c r="A34" i="1" s="1"/>
  <c r="A35" i="1" s="1"/>
  <c r="A36" i="1" s="1"/>
  <c r="H36" i="1" s="1"/>
  <c r="E25" i="1"/>
  <c r="F25" i="1"/>
  <c r="E26" i="1"/>
  <c r="F26" i="1"/>
  <c r="E33" i="1"/>
  <c r="F33" i="1"/>
  <c r="G33" i="1" s="1"/>
  <c r="E34" i="1"/>
  <c r="F34" i="1"/>
  <c r="E35" i="1"/>
  <c r="F35" i="1"/>
  <c r="E36" i="1"/>
  <c r="F36" i="1"/>
  <c r="G36" i="1" s="1"/>
  <c r="E37" i="1"/>
  <c r="F37" i="1"/>
  <c r="G37" i="1" s="1"/>
  <c r="A38" i="1"/>
  <c r="H38" i="1" s="1"/>
  <c r="E41" i="1"/>
  <c r="F41" i="1"/>
  <c r="G41" i="1" s="1"/>
  <c r="E43" i="1"/>
  <c r="F43" i="1"/>
  <c r="E45" i="1"/>
  <c r="E46" i="1"/>
  <c r="F46" i="1"/>
  <c r="E47" i="1"/>
  <c r="F47" i="1"/>
  <c r="G47" i="1" s="1"/>
  <c r="E48" i="1"/>
  <c r="F48" i="1"/>
  <c r="G48" i="1" s="1"/>
  <c r="E51" i="1"/>
  <c r="F51" i="1"/>
  <c r="G51" i="1" s="1"/>
  <c r="A52" i="1"/>
  <c r="A53" i="1" s="1"/>
  <c r="A54" i="1" s="1"/>
  <c r="A55" i="1" s="1"/>
  <c r="A56" i="1" s="1"/>
  <c r="A57" i="1" s="1"/>
  <c r="A58" i="1" s="1"/>
  <c r="E54" i="1"/>
  <c r="F54" i="1"/>
  <c r="G54" i="1" s="1"/>
  <c r="E55" i="1"/>
  <c r="F55" i="1"/>
  <c r="G55" i="1" s="1"/>
  <c r="E59" i="1"/>
  <c r="F59" i="1"/>
  <c r="G59" i="1" s="1"/>
  <c r="A60" i="1"/>
  <c r="A61" i="1" s="1"/>
  <c r="A62" i="1" s="1"/>
  <c r="A63" i="1" s="1"/>
  <c r="A64" i="1" s="1"/>
  <c r="A65" i="1" s="1"/>
  <c r="E61" i="1"/>
  <c r="F61" i="1"/>
  <c r="G61" i="1" s="1"/>
  <c r="E62" i="1"/>
  <c r="E63" i="1"/>
  <c r="E66" i="1"/>
  <c r="F66" i="1"/>
  <c r="G66" i="1" s="1"/>
  <c r="A67" i="1"/>
  <c r="A68" i="1" s="1"/>
  <c r="A69" i="1" s="1"/>
  <c r="A70" i="1" s="1"/>
  <c r="A71" i="1" s="1"/>
  <c r="A72" i="1" s="1"/>
  <c r="A73" i="1" s="1"/>
  <c r="A74" i="1" s="1"/>
  <c r="A75" i="1" s="1"/>
  <c r="H75" i="1" s="1"/>
  <c r="E68" i="1"/>
  <c r="F68" i="1"/>
  <c r="G68" i="1" s="1"/>
  <c r="E69" i="1"/>
  <c r="F69" i="1"/>
  <c r="G69" i="1" s="1"/>
  <c r="E72" i="1"/>
  <c r="F72" i="1"/>
  <c r="G72" i="1" s="1"/>
  <c r="E75" i="1"/>
  <c r="F75" i="1"/>
  <c r="G75" i="1" s="1"/>
  <c r="E79" i="1"/>
  <c r="F79" i="1"/>
  <c r="G79" i="1" s="1"/>
  <c r="E82" i="1"/>
  <c r="G82" i="1"/>
  <c r="E83" i="1"/>
  <c r="G83" i="1"/>
  <c r="A85" i="1"/>
  <c r="A86" i="1" s="1"/>
  <c r="A87" i="1" s="1"/>
  <c r="A88" i="1" s="1"/>
  <c r="E86" i="1"/>
  <c r="F86" i="1"/>
  <c r="G86" i="1" s="1"/>
  <c r="E87" i="1"/>
  <c r="F87" i="1"/>
  <c r="G87" i="1" s="1"/>
  <c r="E89" i="1"/>
  <c r="F89" i="1"/>
  <c r="G89" i="1" s="1"/>
  <c r="A90" i="1"/>
  <c r="A91" i="1" s="1"/>
  <c r="A92" i="1" s="1"/>
  <c r="A93" i="1" s="1"/>
  <c r="A94" i="1" s="1"/>
  <c r="E92" i="1"/>
  <c r="G92" i="1"/>
  <c r="E93" i="1"/>
  <c r="G93" i="1"/>
  <c r="A96" i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E97" i="1"/>
  <c r="F97" i="1"/>
  <c r="G97" i="1" s="1"/>
  <c r="E98" i="1"/>
  <c r="F98" i="1"/>
  <c r="G98" i="1" s="1"/>
  <c r="E99" i="1"/>
  <c r="F99" i="1"/>
  <c r="G99" i="1" s="1"/>
  <c r="E100" i="1"/>
  <c r="F100" i="1"/>
  <c r="G100" i="1" s="1"/>
  <c r="E101" i="1"/>
  <c r="F101" i="1"/>
  <c r="G101" i="1" s="1"/>
  <c r="E103" i="1"/>
  <c r="F103" i="1"/>
  <c r="G103" i="1" s="1"/>
  <c r="E107" i="1"/>
  <c r="F107" i="1"/>
  <c r="G107" i="1" s="1"/>
  <c r="E109" i="1"/>
  <c r="G109" i="1"/>
  <c r="A110" i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E110" i="1"/>
  <c r="F110" i="1"/>
  <c r="G110" i="1" s="1"/>
  <c r="E111" i="1"/>
  <c r="F111" i="1"/>
  <c r="G111" i="1" s="1"/>
  <c r="E112" i="1"/>
  <c r="F112" i="1"/>
  <c r="G112" i="1" s="1"/>
  <c r="E113" i="1"/>
  <c r="F113" i="1"/>
  <c r="G113" i="1" s="1"/>
  <c r="E115" i="1"/>
  <c r="F115" i="1"/>
  <c r="G115" i="1" s="1"/>
  <c r="E119" i="1"/>
  <c r="F119" i="1"/>
  <c r="G119" i="1" s="1"/>
  <c r="E121" i="1"/>
  <c r="G121" i="1"/>
  <c r="E122" i="1"/>
  <c r="F122" i="1"/>
  <c r="G122" i="1" s="1"/>
  <c r="E123" i="1"/>
  <c r="A125" i="1"/>
  <c r="A126" i="1" s="1"/>
  <c r="A127" i="1" s="1"/>
  <c r="A128" i="1" s="1"/>
  <c r="E126" i="1"/>
  <c r="F126" i="1"/>
  <c r="G126" i="1" s="1"/>
  <c r="E128" i="1"/>
  <c r="F128" i="1"/>
  <c r="G128" i="1" s="1"/>
  <c r="A130" i="1"/>
  <c r="A131" i="1" s="1"/>
  <c r="A132" i="1" s="1"/>
  <c r="A133" i="1" s="1"/>
  <c r="A134" i="1" s="1"/>
  <c r="A135" i="1" s="1"/>
  <c r="E130" i="1"/>
  <c r="F130" i="1"/>
  <c r="G130" i="1" s="1"/>
  <c r="E131" i="1"/>
  <c r="G131" i="1"/>
  <c r="E132" i="1"/>
  <c r="G132" i="1"/>
  <c r="E133" i="1"/>
  <c r="F133" i="1"/>
  <c r="G133" i="1" s="1"/>
  <c r="E134" i="1"/>
  <c r="F134" i="1"/>
  <c r="G134" i="1" s="1"/>
  <c r="E136" i="1"/>
  <c r="F136" i="1"/>
  <c r="G136" i="1" s="1"/>
  <c r="A137" i="1"/>
  <c r="A138" i="1" s="1"/>
  <c r="A139" i="1" s="1"/>
  <c r="A140" i="1" s="1"/>
  <c r="E137" i="1"/>
  <c r="F137" i="1"/>
  <c r="G137" i="1" s="1"/>
  <c r="E139" i="1"/>
  <c r="G139" i="1"/>
  <c r="E141" i="1"/>
  <c r="F141" i="1"/>
  <c r="G141" i="1" s="1"/>
  <c r="A142" i="1"/>
  <c r="A143" i="1" s="1"/>
  <c r="A144" i="1" s="1"/>
  <c r="A145" i="1" s="1"/>
  <c r="A146" i="1" s="1"/>
  <c r="A147" i="1" s="1"/>
  <c r="H147" i="1" s="1"/>
  <c r="E145" i="1"/>
  <c r="G145" i="1"/>
  <c r="E146" i="1"/>
  <c r="G146" i="1"/>
  <c r="E148" i="1"/>
  <c r="G148" i="1"/>
  <c r="E149" i="1"/>
  <c r="F149" i="1"/>
  <c r="G149" i="1" s="1"/>
  <c r="E152" i="1"/>
  <c r="G152" i="1"/>
  <c r="A153" i="1"/>
  <c r="A154" i="1" s="1"/>
  <c r="A155" i="1" s="1"/>
  <c r="A156" i="1" s="1"/>
  <c r="A157" i="1" s="1"/>
  <c r="A158" i="1" s="1"/>
  <c r="A159" i="1" s="1"/>
  <c r="E153" i="1"/>
  <c r="F153" i="1"/>
  <c r="G153" i="1" s="1"/>
  <c r="E154" i="1"/>
  <c r="F154" i="1"/>
  <c r="G154" i="1" s="1"/>
  <c r="E158" i="1"/>
  <c r="F158" i="1"/>
  <c r="G158" i="1" s="1"/>
  <c r="E159" i="1"/>
  <c r="F159" i="1"/>
  <c r="G159" i="1" s="1"/>
  <c r="E160" i="1"/>
  <c r="F160" i="1"/>
  <c r="G160" i="1" s="1"/>
  <c r="A161" i="1"/>
  <c r="A162" i="1" s="1"/>
  <c r="A163" i="1" s="1"/>
  <c r="A164" i="1" s="1"/>
  <c r="A165" i="1" s="1"/>
  <c r="A166" i="1" s="1"/>
  <c r="A167" i="1" s="1"/>
  <c r="E162" i="1"/>
  <c r="F162" i="1"/>
  <c r="G162" i="1" s="1"/>
  <c r="E163" i="1"/>
  <c r="F163" i="1"/>
  <c r="G163" i="1" s="1"/>
  <c r="E166" i="1"/>
  <c r="F166" i="1"/>
  <c r="G166" i="1" s="1"/>
  <c r="A169" i="1"/>
  <c r="A170" i="1" s="1"/>
  <c r="A171" i="1" s="1"/>
  <c r="A172" i="1" s="1"/>
  <c r="A173" i="1" s="1"/>
  <c r="E169" i="1"/>
  <c r="F169" i="1"/>
  <c r="G169" i="1" s="1"/>
  <c r="E170" i="1"/>
  <c r="G170" i="1"/>
  <c r="E171" i="1"/>
  <c r="G171" i="1"/>
  <c r="E174" i="1"/>
  <c r="F174" i="1"/>
  <c r="G174" i="1" s="1"/>
  <c r="A18" i="1"/>
  <c r="A19" i="1" s="1"/>
  <c r="A20" i="1" s="1"/>
  <c r="A21" i="1" s="1"/>
  <c r="A22" i="1" s="1"/>
  <c r="A23" i="1" s="1"/>
  <c r="E23" i="1"/>
  <c r="F23" i="1"/>
  <c r="A3" i="1"/>
  <c r="A4" i="1" s="1"/>
  <c r="A5" i="1" s="1"/>
  <c r="A6" i="1" s="1"/>
  <c r="A7" i="1" s="1"/>
  <c r="A8" i="1" s="1"/>
  <c r="A9" i="1" s="1"/>
  <c r="H9" i="1" s="1"/>
  <c r="A11" i="1"/>
  <c r="A12" i="1" s="1"/>
  <c r="A13" i="1" s="1"/>
  <c r="A14" i="1" s="1"/>
  <c r="A15" i="1" s="1"/>
  <c r="A16" i="1" s="1"/>
  <c r="G212" i="1" l="1"/>
  <c r="G623" i="1"/>
  <c r="G595" i="1"/>
  <c r="G637" i="1"/>
  <c r="G581" i="1"/>
  <c r="G931" i="1"/>
  <c r="G987" i="1"/>
  <c r="G903" i="1"/>
  <c r="G763" i="1"/>
  <c r="G847" i="1"/>
  <c r="G875" i="1"/>
  <c r="G959" i="1"/>
  <c r="G819" i="1"/>
  <c r="G749" i="1"/>
  <c r="G889" i="1"/>
  <c r="G777" i="1"/>
  <c r="G973" i="1"/>
  <c r="G833" i="1"/>
  <c r="G917" i="1"/>
  <c r="G861" i="1"/>
  <c r="G791" i="1"/>
  <c r="G945" i="1"/>
  <c r="G609" i="1"/>
  <c r="G735" i="1"/>
  <c r="G222" i="1"/>
  <c r="G721" i="1"/>
  <c r="G611" i="1"/>
  <c r="G583" i="1"/>
  <c r="G805" i="1"/>
  <c r="G284" i="1"/>
  <c r="G707" i="1"/>
  <c r="G558" i="1"/>
  <c r="G574" i="1"/>
  <c r="G602" i="1"/>
  <c r="G254" i="1"/>
  <c r="G285" i="1"/>
  <c r="G573" i="1"/>
  <c r="G629" i="1"/>
  <c r="G601" i="1"/>
  <c r="G572" i="1"/>
  <c r="G600" i="1"/>
  <c r="G283" i="1"/>
  <c r="G215" i="1"/>
  <c r="G559" i="1"/>
  <c r="G278" i="1"/>
  <c r="G598" i="1"/>
  <c r="G571" i="1"/>
  <c r="G282" i="1"/>
  <c r="G599" i="1"/>
  <c r="G277" i="1"/>
  <c r="G280" i="1"/>
  <c r="G252" i="1"/>
  <c r="G597" i="1"/>
  <c r="G308" i="1"/>
  <c r="G568" i="1"/>
  <c r="G279" i="1"/>
  <c r="G596" i="1"/>
  <c r="G569" i="1"/>
  <c r="G567" i="1"/>
  <c r="G566" i="1"/>
  <c r="G307" i="1"/>
  <c r="G306" i="1"/>
  <c r="G594" i="1"/>
  <c r="G679" i="1"/>
  <c r="G622" i="1"/>
  <c r="G249" i="1"/>
  <c r="G693" i="1"/>
  <c r="G248" i="1"/>
  <c r="G247" i="1"/>
  <c r="G270" i="1"/>
  <c r="G271" i="1"/>
  <c r="G620" i="1"/>
  <c r="G592" i="1"/>
  <c r="G275" i="1"/>
  <c r="G304" i="1"/>
  <c r="G621" i="1"/>
  <c r="G593" i="1"/>
  <c r="G305" i="1"/>
  <c r="G565" i="1"/>
  <c r="G276" i="1"/>
  <c r="G590" i="1"/>
  <c r="G245" i="1"/>
  <c r="G618" i="1"/>
  <c r="G302" i="1"/>
  <c r="G562" i="1"/>
  <c r="G297" i="1"/>
  <c r="G619" i="1"/>
  <c r="G591" i="1"/>
  <c r="G303" i="1"/>
  <c r="G563" i="1"/>
  <c r="G246" i="1"/>
  <c r="G274" i="1"/>
  <c r="G244" i="1"/>
  <c r="G296" i="1"/>
  <c r="G268" i="1"/>
  <c r="G557" i="1"/>
  <c r="G240" i="1"/>
  <c r="G613" i="1"/>
  <c r="G585" i="1"/>
  <c r="G301" i="1"/>
  <c r="G561" i="1"/>
  <c r="G243" i="1"/>
  <c r="G616" i="1"/>
  <c r="G588" i="1"/>
  <c r="G300" i="1"/>
  <c r="G560" i="1"/>
  <c r="G266" i="1"/>
  <c r="G238" i="1"/>
  <c r="G294" i="1"/>
  <c r="G555" i="1"/>
  <c r="G615" i="1"/>
  <c r="G587" i="1"/>
  <c r="G576" i="1"/>
  <c r="G586" i="1"/>
  <c r="G287" i="1"/>
  <c r="G604" i="1"/>
  <c r="G242" i="1"/>
  <c r="G241" i="1"/>
  <c r="G614" i="1"/>
  <c r="G299" i="1"/>
  <c r="G226" i="1"/>
  <c r="G292" i="1"/>
  <c r="G264" i="1"/>
  <c r="G553" i="1"/>
  <c r="G235" i="1"/>
  <c r="G564" i="1"/>
  <c r="G575" i="1"/>
  <c r="G286" i="1"/>
  <c r="G603" i="1"/>
  <c r="G258" i="1"/>
  <c r="G225" i="1"/>
  <c r="G295" i="1"/>
  <c r="G556" i="1"/>
  <c r="G267" i="1"/>
  <c r="G612" i="1"/>
  <c r="G584" i="1"/>
  <c r="G290" i="1"/>
  <c r="G607" i="1"/>
  <c r="G262" i="1"/>
  <c r="G551" i="1"/>
  <c r="G273" i="1"/>
  <c r="G211" i="1"/>
  <c r="G272" i="1"/>
  <c r="G605" i="1"/>
  <c r="G577" i="1"/>
  <c r="G288" i="1"/>
  <c r="G227" i="1"/>
  <c r="G548" i="1"/>
  <c r="G610" i="1"/>
  <c r="G582" i="1"/>
  <c r="G974" i="1"/>
  <c r="G946" i="1"/>
  <c r="G918" i="1"/>
  <c r="G890" i="1"/>
  <c r="G862" i="1"/>
  <c r="G834" i="1"/>
  <c r="G806" i="1"/>
  <c r="G778" i="1"/>
  <c r="G750" i="1"/>
  <c r="G722" i="1"/>
  <c r="G694" i="1"/>
  <c r="G265" i="1"/>
  <c r="G293" i="1"/>
  <c r="G237" i="1"/>
  <c r="G554" i="1"/>
  <c r="G976" i="1"/>
  <c r="G948" i="1"/>
  <c r="G920" i="1"/>
  <c r="G892" i="1"/>
  <c r="G864" i="1"/>
  <c r="G836" i="1"/>
  <c r="G808" i="1"/>
  <c r="G780" i="1"/>
  <c r="G752" i="1"/>
  <c r="G724" i="1"/>
  <c r="G696" i="1"/>
  <c r="G668" i="1"/>
  <c r="G975" i="1"/>
  <c r="G947" i="1"/>
  <c r="G919" i="1"/>
  <c r="G891" i="1"/>
  <c r="G863" i="1"/>
  <c r="G835" i="1"/>
  <c r="G807" i="1"/>
  <c r="G779" i="1"/>
  <c r="G751" i="1"/>
  <c r="G723" i="1"/>
  <c r="G695" i="1"/>
  <c r="G606" i="1"/>
  <c r="G261" i="1"/>
  <c r="G228" i="1"/>
  <c r="G550" i="1"/>
  <c r="G289" i="1"/>
  <c r="G204" i="1"/>
  <c r="G938" i="1"/>
  <c r="G882" i="1"/>
  <c r="G770" i="1"/>
  <c r="G714" i="1"/>
  <c r="G651" i="1"/>
  <c r="G986" i="1"/>
  <c r="G958" i="1"/>
  <c r="G930" i="1"/>
  <c r="G902" i="1"/>
  <c r="G874" i="1"/>
  <c r="G846" i="1"/>
  <c r="G818" i="1"/>
  <c r="G790" i="1"/>
  <c r="G762" i="1"/>
  <c r="G734" i="1"/>
  <c r="G706" i="1"/>
  <c r="G678" i="1"/>
  <c r="G995" i="1"/>
  <c r="G967" i="1"/>
  <c r="G939" i="1"/>
  <c r="G911" i="1"/>
  <c r="G883" i="1"/>
  <c r="G855" i="1"/>
  <c r="G827" i="1"/>
  <c r="G799" i="1"/>
  <c r="G771" i="1"/>
  <c r="G743" i="1"/>
  <c r="G715" i="1"/>
  <c r="G687" i="1"/>
  <c r="G910" i="1"/>
  <c r="G966" i="1"/>
  <c r="G826" i="1"/>
  <c r="G798" i="1"/>
  <c r="G742" i="1"/>
  <c r="G686" i="1"/>
  <c r="G993" i="1"/>
  <c r="G965" i="1"/>
  <c r="G937" i="1"/>
  <c r="G909" i="1"/>
  <c r="G881" i="1"/>
  <c r="G853" i="1"/>
  <c r="G825" i="1"/>
  <c r="G797" i="1"/>
  <c r="G769" i="1"/>
  <c r="G741" i="1"/>
  <c r="G713" i="1"/>
  <c r="G685" i="1"/>
  <c r="G657" i="1"/>
  <c r="G994" i="1"/>
  <c r="G854" i="1"/>
  <c r="G659" i="1"/>
  <c r="G985" i="1"/>
  <c r="G957" i="1"/>
  <c r="G929" i="1"/>
  <c r="G901" i="1"/>
  <c r="G873" i="1"/>
  <c r="G845" i="1"/>
  <c r="G817" i="1"/>
  <c r="G789" i="1"/>
  <c r="G761" i="1"/>
  <c r="G733" i="1"/>
  <c r="G705" i="1"/>
  <c r="G677" i="1"/>
  <c r="G649" i="1"/>
  <c r="G658" i="1"/>
  <c r="G667" i="1"/>
  <c r="G666" i="1"/>
  <c r="G992" i="1"/>
  <c r="G964" i="1"/>
  <c r="G936" i="1"/>
  <c r="G908" i="1"/>
  <c r="G880" i="1"/>
  <c r="G852" i="1"/>
  <c r="G824" i="1"/>
  <c r="G796" i="1"/>
  <c r="G768" i="1"/>
  <c r="G740" i="1"/>
  <c r="G712" i="1"/>
  <c r="G684" i="1"/>
  <c r="G656" i="1"/>
  <c r="G665" i="1"/>
  <c r="G991" i="1"/>
  <c r="G963" i="1"/>
  <c r="G935" i="1"/>
  <c r="G907" i="1"/>
  <c r="G879" i="1"/>
  <c r="G851" i="1"/>
  <c r="G823" i="1"/>
  <c r="G795" i="1"/>
  <c r="G767" i="1"/>
  <c r="G739" i="1"/>
  <c r="G711" i="1"/>
  <c r="G683" i="1"/>
  <c r="G655" i="1"/>
  <c r="G580" i="1"/>
  <c r="G608" i="1"/>
  <c r="G291" i="1"/>
  <c r="G990" i="1"/>
  <c r="G962" i="1"/>
  <c r="G934" i="1"/>
  <c r="G906" i="1"/>
  <c r="G878" i="1"/>
  <c r="G850" i="1"/>
  <c r="G822" i="1"/>
  <c r="G794" i="1"/>
  <c r="G766" i="1"/>
  <c r="G738" i="1"/>
  <c r="G710" i="1"/>
  <c r="G682" i="1"/>
  <c r="G654" i="1"/>
  <c r="G263" i="1"/>
  <c r="G552" i="1"/>
  <c r="G639" i="1"/>
  <c r="G984" i="1"/>
  <c r="G982" i="1"/>
  <c r="G954" i="1"/>
  <c r="G898" i="1"/>
  <c r="G730" i="1"/>
  <c r="G646" i="1"/>
  <c r="G1000" i="1"/>
  <c r="G944" i="1"/>
  <c r="G804" i="1"/>
  <c r="G748" i="1"/>
  <c r="G664" i="1"/>
  <c r="G970" i="1"/>
  <c r="G830" i="1"/>
  <c r="G746" i="1"/>
  <c r="G718" i="1"/>
  <c r="G978" i="1"/>
  <c r="G950" i="1"/>
  <c r="G866" i="1"/>
  <c r="G754" i="1"/>
  <c r="G726" i="1"/>
  <c r="G698" i="1"/>
  <c r="G670" i="1"/>
  <c r="G642" i="1"/>
  <c r="G996" i="1"/>
  <c r="G968" i="1"/>
  <c r="G940" i="1"/>
  <c r="G912" i="1"/>
  <c r="G884" i="1"/>
  <c r="G856" i="1"/>
  <c r="G828" i="1"/>
  <c r="G800" i="1"/>
  <c r="G772" i="1"/>
  <c r="G744" i="1"/>
  <c r="G716" i="1"/>
  <c r="G688" i="1"/>
  <c r="G660" i="1"/>
  <c r="G632" i="1"/>
  <c r="G977" i="1"/>
  <c r="G949" i="1"/>
  <c r="G921" i="1"/>
  <c r="G893" i="1"/>
  <c r="G865" i="1"/>
  <c r="G837" i="1"/>
  <c r="G809" i="1"/>
  <c r="G781" i="1"/>
  <c r="G753" i="1"/>
  <c r="G725" i="1"/>
  <c r="G697" i="1"/>
  <c r="G669" i="1"/>
  <c r="G641" i="1"/>
  <c r="G631" i="1"/>
  <c r="G630" i="1"/>
  <c r="G309" i="1"/>
  <c r="G900" i="1"/>
  <c r="G704" i="1"/>
  <c r="G983" i="1"/>
  <c r="G955" i="1"/>
  <c r="G927" i="1"/>
  <c r="G899" i="1"/>
  <c r="G871" i="1"/>
  <c r="G843" i="1"/>
  <c r="G815" i="1"/>
  <c r="G787" i="1"/>
  <c r="G759" i="1"/>
  <c r="G731" i="1"/>
  <c r="G703" i="1"/>
  <c r="G675" i="1"/>
  <c r="G647" i="1"/>
  <c r="G253" i="1"/>
  <c r="G628" i="1"/>
  <c r="G640" i="1"/>
  <c r="G872" i="1"/>
  <c r="G788" i="1"/>
  <c r="G732" i="1"/>
  <c r="G648" i="1"/>
  <c r="G281" i="1"/>
  <c r="G842" i="1"/>
  <c r="G674" i="1"/>
  <c r="G627" i="1"/>
  <c r="G888" i="1"/>
  <c r="G832" i="1"/>
  <c r="G776" i="1"/>
  <c r="G720" i="1"/>
  <c r="G636" i="1"/>
  <c r="G981" i="1"/>
  <c r="G897" i="1"/>
  <c r="G869" i="1"/>
  <c r="G841" i="1"/>
  <c r="G813" i="1"/>
  <c r="G785" i="1"/>
  <c r="G757" i="1"/>
  <c r="G729" i="1"/>
  <c r="G701" i="1"/>
  <c r="G673" i="1"/>
  <c r="G645" i="1"/>
  <c r="G617" i="1"/>
  <c r="G589" i="1"/>
  <c r="G626" i="1"/>
  <c r="G999" i="1"/>
  <c r="G971" i="1"/>
  <c r="G943" i="1"/>
  <c r="G915" i="1"/>
  <c r="G887" i="1"/>
  <c r="G859" i="1"/>
  <c r="G831" i="1"/>
  <c r="G803" i="1"/>
  <c r="G775" i="1"/>
  <c r="G747" i="1"/>
  <c r="G719" i="1"/>
  <c r="G691" i="1"/>
  <c r="G663" i="1"/>
  <c r="G635" i="1"/>
  <c r="G980" i="1"/>
  <c r="G952" i="1"/>
  <c r="G924" i="1"/>
  <c r="G896" i="1"/>
  <c r="G868" i="1"/>
  <c r="G840" i="1"/>
  <c r="G812" i="1"/>
  <c r="G784" i="1"/>
  <c r="G756" i="1"/>
  <c r="G728" i="1"/>
  <c r="G700" i="1"/>
  <c r="G672" i="1"/>
  <c r="G644" i="1"/>
  <c r="G989" i="1"/>
  <c r="G961" i="1"/>
  <c r="G933" i="1"/>
  <c r="G905" i="1"/>
  <c r="G877" i="1"/>
  <c r="G849" i="1"/>
  <c r="G821" i="1"/>
  <c r="G793" i="1"/>
  <c r="G765" i="1"/>
  <c r="G737" i="1"/>
  <c r="G709" i="1"/>
  <c r="G681" i="1"/>
  <c r="G653" i="1"/>
  <c r="G625" i="1"/>
  <c r="G676" i="1"/>
  <c r="G928" i="1"/>
  <c r="G844" i="1"/>
  <c r="G638" i="1"/>
  <c r="G926" i="1"/>
  <c r="G814" i="1"/>
  <c r="G758" i="1"/>
  <c r="G702" i="1"/>
  <c r="G916" i="1"/>
  <c r="G860" i="1"/>
  <c r="G692" i="1"/>
  <c r="G925" i="1"/>
  <c r="G998" i="1"/>
  <c r="G942" i="1"/>
  <c r="G886" i="1"/>
  <c r="G774" i="1"/>
  <c r="G662" i="1"/>
  <c r="G979" i="1"/>
  <c r="G951" i="1"/>
  <c r="G923" i="1"/>
  <c r="G895" i="1"/>
  <c r="G867" i="1"/>
  <c r="G839" i="1"/>
  <c r="G811" i="1"/>
  <c r="G783" i="1"/>
  <c r="G755" i="1"/>
  <c r="G727" i="1"/>
  <c r="G699" i="1"/>
  <c r="G671" i="1"/>
  <c r="G643" i="1"/>
  <c r="G988" i="1"/>
  <c r="G960" i="1"/>
  <c r="G932" i="1"/>
  <c r="G904" i="1"/>
  <c r="G876" i="1"/>
  <c r="G848" i="1"/>
  <c r="G820" i="1"/>
  <c r="G792" i="1"/>
  <c r="G764" i="1"/>
  <c r="G736" i="1"/>
  <c r="G708" i="1"/>
  <c r="G680" i="1"/>
  <c r="G652" i="1"/>
  <c r="G624" i="1"/>
  <c r="G997" i="1"/>
  <c r="G969" i="1"/>
  <c r="G941" i="1"/>
  <c r="G913" i="1"/>
  <c r="G885" i="1"/>
  <c r="G857" i="1"/>
  <c r="G829" i="1"/>
  <c r="G801" i="1"/>
  <c r="G773" i="1"/>
  <c r="G745" i="1"/>
  <c r="G717" i="1"/>
  <c r="G689" i="1"/>
  <c r="G661" i="1"/>
  <c r="G633" i="1"/>
  <c r="G650" i="1"/>
  <c r="G956" i="1"/>
  <c r="G816" i="1"/>
  <c r="G760" i="1"/>
  <c r="G870" i="1"/>
  <c r="G786" i="1"/>
  <c r="G972" i="1"/>
  <c r="G953" i="1"/>
  <c r="G914" i="1"/>
  <c r="G858" i="1"/>
  <c r="G802" i="1"/>
  <c r="G690" i="1"/>
  <c r="G634" i="1"/>
  <c r="G922" i="1"/>
  <c r="G894" i="1"/>
  <c r="G838" i="1"/>
  <c r="G810" i="1"/>
  <c r="G782" i="1"/>
  <c r="H452" i="1"/>
  <c r="H677" i="1"/>
  <c r="H905" i="1"/>
  <c r="H687" i="1"/>
  <c r="H956" i="1"/>
  <c r="H721" i="1"/>
  <c r="H986" i="1"/>
  <c r="H704" i="1"/>
  <c r="H550" i="1"/>
  <c r="H874" i="1"/>
  <c r="H461" i="1"/>
  <c r="H990" i="1"/>
  <c r="H969" i="1"/>
  <c r="H910" i="1"/>
  <c r="H962" i="1"/>
  <c r="H952" i="1"/>
  <c r="H840" i="1"/>
  <c r="H603" i="1"/>
  <c r="H944" i="1"/>
  <c r="H816" i="1"/>
  <c r="H710" i="1"/>
  <c r="H588" i="1"/>
  <c r="H993" i="1"/>
  <c r="H805" i="1"/>
  <c r="H778" i="1"/>
  <c r="H786" i="1"/>
  <c r="H983" i="1"/>
  <c r="H940" i="1"/>
  <c r="H991" i="1"/>
  <c r="H928" i="1"/>
  <c r="H738" i="1"/>
  <c r="H919" i="1"/>
  <c r="H745" i="1"/>
  <c r="H955" i="1"/>
  <c r="H760" i="1"/>
  <c r="H717" i="1"/>
  <c r="H699" i="1"/>
  <c r="H615" i="1"/>
  <c r="H503" i="1"/>
  <c r="H455" i="1"/>
  <c r="H833" i="1"/>
  <c r="H789" i="1"/>
  <c r="H916" i="1"/>
  <c r="H933" i="1"/>
  <c r="H532" i="1"/>
  <c r="H749" i="1"/>
  <c r="H622" i="1"/>
  <c r="H613" i="1"/>
  <c r="H576" i="1"/>
  <c r="H482" i="1"/>
  <c r="H729" i="1"/>
  <c r="H913" i="1"/>
  <c r="H546" i="1"/>
  <c r="H591" i="1"/>
  <c r="H997" i="1"/>
  <c r="H879" i="1"/>
  <c r="H644" i="1"/>
  <c r="H653" i="1"/>
  <c r="H468" i="1"/>
  <c r="H871" i="1"/>
  <c r="H945" i="1"/>
  <c r="H732" i="1"/>
  <c r="H829" i="1"/>
  <c r="H788" i="1"/>
  <c r="H630" i="1"/>
  <c r="H593" i="1"/>
  <c r="H584" i="1"/>
  <c r="H491" i="1"/>
  <c r="H528" i="1"/>
  <c r="H731" i="1"/>
  <c r="H844" i="1"/>
  <c r="H803" i="1"/>
  <c r="H817" i="1"/>
  <c r="H761" i="1"/>
  <c r="H908" i="1"/>
  <c r="H793" i="1"/>
  <c r="H825" i="1"/>
  <c r="H693" i="1"/>
  <c r="H675" i="1"/>
  <c r="H555" i="1"/>
  <c r="H554" i="1"/>
  <c r="H553" i="1"/>
  <c r="H882" i="1"/>
  <c r="H890" i="1"/>
  <c r="H807" i="1"/>
  <c r="H726" i="1"/>
  <c r="H718" i="1"/>
  <c r="H682" i="1"/>
  <c r="H673" i="1"/>
  <c r="H766" i="1"/>
  <c r="H980" i="1"/>
  <c r="H580" i="1"/>
  <c r="H525" i="1"/>
  <c r="H498" i="1"/>
  <c r="H541" i="1"/>
  <c r="H486" i="1"/>
  <c r="H649" i="1"/>
  <c r="H585" i="1"/>
  <c r="H547" i="1"/>
  <c r="H465" i="1"/>
  <c r="H575" i="1"/>
  <c r="H502" i="1"/>
  <c r="H664" i="1"/>
  <c r="H574" i="1"/>
  <c r="H473" i="1"/>
  <c r="H973" i="1"/>
  <c r="H509" i="1"/>
  <c r="H463" i="1"/>
  <c r="H654" i="1"/>
  <c r="H536" i="1"/>
  <c r="H698" i="1"/>
  <c r="H661" i="1"/>
  <c r="H597" i="1"/>
  <c r="H470" i="1"/>
  <c r="H670" i="1"/>
  <c r="H985" i="1"/>
  <c r="H831" i="1"/>
  <c r="H999" i="1"/>
  <c r="H846" i="1"/>
  <c r="H853" i="1"/>
  <c r="H739" i="1"/>
  <c r="H918" i="1"/>
  <c r="H901" i="1"/>
  <c r="H633" i="1"/>
  <c r="H515" i="1"/>
  <c r="H524" i="1"/>
  <c r="H608" i="1"/>
  <c r="H529" i="1"/>
  <c r="H494" i="1"/>
  <c r="H459" i="1"/>
  <c r="H520" i="1"/>
  <c r="H671" i="1"/>
  <c r="H605" i="1"/>
  <c r="H569" i="1"/>
  <c r="H560" i="1"/>
  <c r="H747" i="1"/>
  <c r="H968" i="1"/>
  <c r="H767" i="1"/>
  <c r="H995" i="1"/>
  <c r="H902" i="1"/>
  <c r="H894" i="1"/>
  <c r="H855" i="1"/>
  <c r="H798" i="1"/>
  <c r="H728" i="1"/>
  <c r="H862" i="1"/>
  <c r="H703" i="1"/>
  <c r="H925" i="1"/>
  <c r="H822" i="1"/>
  <c r="H790" i="1"/>
  <c r="H782" i="1"/>
  <c r="H711" i="1"/>
  <c r="H659" i="1"/>
  <c r="H508" i="1"/>
  <c r="H631" i="1"/>
  <c r="H543" i="1"/>
  <c r="H453" i="1"/>
  <c r="H647" i="1"/>
  <c r="H638" i="1"/>
  <c r="H620" i="1"/>
  <c r="H548" i="1"/>
  <c r="H514" i="1"/>
  <c r="H861" i="1"/>
  <c r="H900" i="1"/>
  <c r="H683" i="1"/>
  <c r="H963" i="1"/>
  <c r="H939" i="1"/>
  <c r="H891" i="1"/>
  <c r="H883" i="1"/>
  <c r="H756" i="1"/>
  <c r="H906" i="1"/>
  <c r="H811" i="1"/>
  <c r="H779" i="1"/>
  <c r="H665" i="1"/>
  <c r="H898" i="1"/>
  <c r="H851" i="1"/>
  <c r="H771" i="1"/>
  <c r="H610" i="1"/>
  <c r="H556" i="1"/>
  <c r="H496" i="1"/>
  <c r="H487" i="1"/>
  <c r="H469" i="1"/>
  <c r="H637" i="1"/>
  <c r="H619" i="1"/>
  <c r="H684" i="1"/>
  <c r="H526" i="1"/>
  <c r="H650" i="1"/>
  <c r="H517" i="1"/>
  <c r="H492" i="1"/>
  <c r="H641" i="1"/>
  <c r="H616" i="1"/>
  <c r="H599" i="1"/>
  <c r="H500" i="1"/>
  <c r="H457" i="1"/>
  <c r="H606" i="1"/>
  <c r="H490" i="1"/>
  <c r="H639" i="1"/>
  <c r="H845" i="1"/>
  <c r="H974" i="1"/>
  <c r="H859" i="1"/>
  <c r="H813" i="1"/>
  <c r="H1000" i="1"/>
  <c r="H943" i="1"/>
  <c r="H935" i="1"/>
  <c r="H911" i="1"/>
  <c r="H796" i="1"/>
  <c r="H773" i="1"/>
  <c r="H957" i="1"/>
  <c r="H804" i="1"/>
  <c r="H705" i="1"/>
  <c r="H691" i="1"/>
  <c r="H926" i="1"/>
  <c r="H873" i="1"/>
  <c r="H827" i="1"/>
  <c r="H888" i="1"/>
  <c r="H843" i="1"/>
  <c r="H750" i="1"/>
  <c r="H743" i="1"/>
  <c r="H712" i="1"/>
  <c r="H621" i="1"/>
  <c r="H481" i="1"/>
  <c r="H471" i="1"/>
  <c r="H454" i="1"/>
  <c r="H570" i="1"/>
  <c r="H964" i="1"/>
  <c r="H941" i="1"/>
  <c r="H934" i="1"/>
  <c r="H880" i="1"/>
  <c r="H795" i="1"/>
  <c r="H689" i="1"/>
  <c r="H655" i="1"/>
  <c r="H895" i="1"/>
  <c r="H834" i="1"/>
  <c r="H849" i="1"/>
  <c r="H841" i="1"/>
  <c r="H818" i="1"/>
  <c r="H612" i="1"/>
  <c r="H595" i="1"/>
  <c r="H587" i="1"/>
  <c r="H479" i="1"/>
  <c r="H578" i="1"/>
  <c r="H662" i="1"/>
  <c r="H537" i="1"/>
  <c r="H592" i="1"/>
  <c r="H733" i="1"/>
  <c r="H877" i="1"/>
  <c r="H762" i="1"/>
  <c r="H694" i="1"/>
  <c r="H754" i="1"/>
  <c r="H740" i="1"/>
  <c r="H660" i="1"/>
  <c r="H451" i="1"/>
  <c r="H946" i="1"/>
  <c r="H975" i="1"/>
  <c r="H961" i="1"/>
  <c r="H930" i="1"/>
  <c r="H922" i="1"/>
  <c r="H626" i="1"/>
  <c r="H510" i="1"/>
  <c r="H885" i="1"/>
  <c r="H938" i="1"/>
  <c r="H869" i="1"/>
  <c r="H815" i="1"/>
  <c r="H776" i="1"/>
  <c r="H701" i="1"/>
  <c r="H634" i="1"/>
  <c r="H676" i="1"/>
  <c r="H583" i="1"/>
  <c r="H519" i="1"/>
  <c r="H475" i="1"/>
  <c r="H450" i="1"/>
  <c r="H984" i="1"/>
  <c r="H978" i="1"/>
  <c r="H812" i="1"/>
  <c r="H784" i="1"/>
  <c r="H563" i="1"/>
  <c r="H511" i="1"/>
  <c r="H480" i="1"/>
  <c r="H768" i="1"/>
  <c r="H623" i="1"/>
  <c r="H577" i="1"/>
  <c r="H534" i="1"/>
  <c r="H472" i="1"/>
  <c r="H464" i="1"/>
  <c r="H971" i="1"/>
  <c r="H516" i="1"/>
  <c r="H646" i="1"/>
  <c r="H562" i="1"/>
  <c r="H989" i="1"/>
  <c r="H947" i="1"/>
  <c r="H775" i="1"/>
  <c r="H598" i="1"/>
  <c r="H501" i="1"/>
  <c r="H485" i="1"/>
  <c r="H889" i="1"/>
  <c r="H868" i="1"/>
  <c r="H493" i="1"/>
  <c r="H917" i="1"/>
  <c r="H860" i="1"/>
  <c r="H810" i="1"/>
  <c r="H688" i="1"/>
  <c r="H567" i="1"/>
  <c r="H478" i="1"/>
  <c r="H896" i="1"/>
  <c r="H852" i="1"/>
  <c r="H832" i="1"/>
  <c r="H794" i="1"/>
  <c r="H667" i="1"/>
  <c r="H636" i="1"/>
  <c r="H627" i="1"/>
  <c r="H581" i="1"/>
  <c r="H719" i="1"/>
  <c r="H709" i="1"/>
  <c r="H681" i="1"/>
  <c r="H651" i="1"/>
  <c r="H643" i="1"/>
  <c r="H538" i="1"/>
  <c r="H924" i="1"/>
  <c r="H838" i="1"/>
  <c r="H695" i="1"/>
  <c r="H566" i="1"/>
  <c r="H953" i="1"/>
  <c r="H858" i="1"/>
  <c r="H823" i="1"/>
  <c r="H765" i="1"/>
  <c r="H737" i="1"/>
  <c r="H715" i="1"/>
  <c r="H666" i="1"/>
  <c r="H522" i="1"/>
  <c r="H507" i="1"/>
  <c r="H981" i="1"/>
  <c r="H967" i="1"/>
  <c r="H866" i="1"/>
  <c r="H801" i="1"/>
  <c r="H758" i="1"/>
  <c r="H722" i="1"/>
  <c r="H658" i="1"/>
  <c r="H611" i="1"/>
  <c r="H604" i="1"/>
  <c r="H590" i="1"/>
  <c r="H559" i="1"/>
  <c r="H552" i="1"/>
  <c r="H499" i="1"/>
  <c r="H460" i="1"/>
  <c r="H474" i="1"/>
  <c r="H929" i="1"/>
  <c r="H700" i="1"/>
  <c r="H672" i="1"/>
  <c r="H564" i="1"/>
  <c r="H872" i="1"/>
  <c r="H785" i="1"/>
  <c r="H850" i="1"/>
  <c r="H609" i="1"/>
  <c r="H799" i="1"/>
  <c r="H594" i="1"/>
  <c r="H998" i="1"/>
  <c r="H857" i="1"/>
  <c r="H828" i="1"/>
  <c r="H777" i="1"/>
  <c r="H755" i="1"/>
  <c r="H965" i="1"/>
  <c r="H640" i="1"/>
  <c r="H625" i="1"/>
  <c r="H972" i="1"/>
  <c r="H915" i="1"/>
  <c r="H734" i="1"/>
  <c r="H720" i="1"/>
  <c r="H542" i="1"/>
  <c r="H527" i="1"/>
  <c r="H992" i="1"/>
  <c r="H958" i="1"/>
  <c r="H907" i="1"/>
  <c r="H727" i="1"/>
  <c r="H706" i="1"/>
  <c r="H506" i="1"/>
  <c r="H878" i="1"/>
  <c r="H678" i="1"/>
  <c r="H648" i="1"/>
  <c r="H504" i="1"/>
  <c r="H571" i="1"/>
  <c r="H887" i="1"/>
  <c r="H821" i="1"/>
  <c r="H632" i="1"/>
  <c r="H618" i="1"/>
  <c r="H535" i="1"/>
  <c r="H950" i="1"/>
  <c r="H936" i="1"/>
  <c r="H863" i="1"/>
  <c r="H835" i="1"/>
  <c r="H806" i="1"/>
  <c r="H748" i="1"/>
  <c r="H692" i="1"/>
  <c r="H663" i="1"/>
  <c r="H602" i="1"/>
  <c r="H679" i="1"/>
  <c r="H680" i="1"/>
  <c r="H601" i="1"/>
  <c r="H600" i="1"/>
  <c r="H686" i="1"/>
  <c r="H685" i="1"/>
  <c r="H959" i="1"/>
  <c r="H960" i="1"/>
  <c r="H893" i="1"/>
  <c r="H892" i="1"/>
  <c r="H819" i="1"/>
  <c r="H820" i="1"/>
  <c r="H753" i="1"/>
  <c r="H752" i="1"/>
  <c r="H690" i="1"/>
  <c r="H970" i="1"/>
  <c r="H867" i="1"/>
  <c r="H800" i="1"/>
  <c r="H751" i="1"/>
  <c r="H830" i="1"/>
  <c r="H824" i="1"/>
  <c r="H757" i="1"/>
  <c r="H994" i="1"/>
  <c r="H927" i="1"/>
  <c r="H854" i="1"/>
  <c r="H697" i="1"/>
  <c r="H696" i="1"/>
  <c r="H897" i="1"/>
  <c r="H977" i="1"/>
  <c r="H976" i="1"/>
  <c r="H903" i="1"/>
  <c r="H904" i="1"/>
  <c r="H787" i="1"/>
  <c r="H763" i="1"/>
  <c r="H764" i="1"/>
  <c r="H702" i="1"/>
  <c r="H982" i="1"/>
  <c r="H951" i="1"/>
  <c r="H909" i="1"/>
  <c r="H884" i="1"/>
  <c r="H837" i="1"/>
  <c r="H836" i="1"/>
  <c r="H769" i="1"/>
  <c r="H770" i="1"/>
  <c r="H744" i="1"/>
  <c r="H572" i="1"/>
  <c r="H914" i="1"/>
  <c r="H842" i="1"/>
  <c r="H774" i="1"/>
  <c r="H707" i="1"/>
  <c r="H708" i="1"/>
  <c r="H987" i="1"/>
  <c r="H988" i="1"/>
  <c r="H714" i="1"/>
  <c r="H713" i="1"/>
  <c r="H931" i="1"/>
  <c r="H932" i="1"/>
  <c r="H725" i="1"/>
  <c r="H724" i="1"/>
  <c r="H847" i="1"/>
  <c r="H848" i="1"/>
  <c r="H545" i="1"/>
  <c r="H544" i="1"/>
  <c r="H979" i="1"/>
  <c r="H937" i="1"/>
  <c r="H912" i="1"/>
  <c r="H865" i="1"/>
  <c r="H864" i="1"/>
  <c r="H791" i="1"/>
  <c r="H792" i="1"/>
  <c r="H730" i="1"/>
  <c r="H723" i="1"/>
  <c r="H942" i="1"/>
  <c r="H870" i="1"/>
  <c r="H839" i="1"/>
  <c r="H797" i="1"/>
  <c r="H772" i="1"/>
  <c r="H802" i="1"/>
  <c r="H966" i="1"/>
  <c r="H669" i="1"/>
  <c r="H668" i="1"/>
  <c r="H629" i="1"/>
  <c r="H628" i="1"/>
  <c r="H921" i="1"/>
  <c r="H920" i="1"/>
  <c r="H781" i="1"/>
  <c r="H780" i="1"/>
  <c r="H899" i="1"/>
  <c r="H826" i="1"/>
  <c r="H759" i="1"/>
  <c r="H735" i="1"/>
  <c r="H736" i="1"/>
  <c r="H674" i="1"/>
  <c r="H657" i="1"/>
  <c r="H656" i="1"/>
  <c r="H996" i="1"/>
  <c r="H949" i="1"/>
  <c r="H948" i="1"/>
  <c r="H875" i="1"/>
  <c r="H876" i="1"/>
  <c r="H741" i="1"/>
  <c r="H742" i="1"/>
  <c r="H716" i="1"/>
  <c r="H954" i="1"/>
  <c r="H923" i="1"/>
  <c r="H881" i="1"/>
  <c r="H856" i="1"/>
  <c r="H809" i="1"/>
  <c r="H808" i="1"/>
  <c r="H886" i="1"/>
  <c r="H814" i="1"/>
  <c r="H783" i="1"/>
  <c r="H746" i="1"/>
  <c r="H489" i="1"/>
  <c r="H645" i="1"/>
  <c r="H617" i="1"/>
  <c r="H589" i="1"/>
  <c r="H561" i="1"/>
  <c r="H533" i="1"/>
  <c r="H477" i="1"/>
  <c r="H642" i="1"/>
  <c r="H614" i="1"/>
  <c r="H586" i="1"/>
  <c r="H558" i="1"/>
  <c r="H530" i="1"/>
  <c r="H518" i="1"/>
  <c r="H462" i="1"/>
  <c r="H652" i="1"/>
  <c r="H624" i="1"/>
  <c r="H596" i="1"/>
  <c r="H568" i="1"/>
  <c r="H540" i="1"/>
  <c r="H512" i="1"/>
  <c r="H484" i="1"/>
  <c r="H456" i="1"/>
  <c r="H635" i="1"/>
  <c r="H607" i="1"/>
  <c r="H579" i="1"/>
  <c r="H551" i="1"/>
  <c r="H523" i="1"/>
  <c r="H495" i="1"/>
  <c r="H467" i="1"/>
  <c r="H280" i="1"/>
  <c r="H419" i="1"/>
  <c r="H199" i="1"/>
  <c r="H279" i="1"/>
  <c r="H414" i="1"/>
  <c r="H430" i="1"/>
  <c r="H403" i="1"/>
  <c r="H271" i="1"/>
  <c r="H178" i="1"/>
  <c r="H203" i="1"/>
  <c r="H191" i="1"/>
  <c r="H227" i="1"/>
  <c r="H383" i="1"/>
  <c r="H262" i="1"/>
  <c r="H206" i="1"/>
  <c r="H289" i="1"/>
  <c r="H195" i="1"/>
  <c r="H443" i="1"/>
  <c r="H444" i="1"/>
  <c r="H375" i="1"/>
  <c r="H319" i="1"/>
  <c r="H442" i="1"/>
  <c r="H436" i="1"/>
  <c r="H251" i="1"/>
  <c r="H433" i="1"/>
  <c r="H175" i="1"/>
  <c r="H184" i="1"/>
  <c r="H294" i="1"/>
  <c r="H337" i="1"/>
  <c r="H420" i="1"/>
  <c r="H188" i="1"/>
  <c r="H323" i="1"/>
  <c r="H387" i="1"/>
  <c r="H303" i="1"/>
  <c r="H182" i="1"/>
  <c r="H208" i="1"/>
  <c r="H328" i="1"/>
  <c r="H290" i="1"/>
  <c r="H179" i="1"/>
  <c r="H392" i="1"/>
  <c r="H391" i="1"/>
  <c r="H352" i="1"/>
  <c r="H324" i="1"/>
  <c r="H222" i="1"/>
  <c r="H333" i="1"/>
  <c r="H240" i="1"/>
  <c r="H408" i="1"/>
  <c r="H398" i="1"/>
  <c r="H343" i="1"/>
  <c r="H286" i="1"/>
  <c r="H277" i="1"/>
  <c r="H340" i="1"/>
  <c r="H238" i="1"/>
  <c r="H413" i="1"/>
  <c r="H395" i="1"/>
  <c r="H201" i="1"/>
  <c r="H339" i="1"/>
  <c r="H283" i="1"/>
  <c r="H263" i="1"/>
  <c r="H235" i="1"/>
  <c r="H356" i="1"/>
  <c r="H300" i="1"/>
  <c r="H253" i="1"/>
  <c r="H441" i="1"/>
  <c r="H425" i="1"/>
  <c r="H335" i="1"/>
  <c r="H307" i="1"/>
  <c r="H261" i="1"/>
  <c r="H233" i="1"/>
  <c r="H224" i="1"/>
  <c r="H381" i="1"/>
  <c r="H353" i="1"/>
  <c r="H344" i="1"/>
  <c r="H334" i="1"/>
  <c r="H269" i="1"/>
  <c r="H223" i="1"/>
  <c r="H177" i="1"/>
  <c r="H415" i="1"/>
  <c r="H431" i="1"/>
  <c r="H423" i="1"/>
  <c r="H296" i="1"/>
  <c r="H249" i="1"/>
  <c r="H438" i="1"/>
  <c r="H268" i="1"/>
  <c r="H378" i="1"/>
  <c r="H313" i="1"/>
  <c r="H347" i="1"/>
  <c r="H247" i="1"/>
  <c r="H193" i="1"/>
  <c r="H301" i="1"/>
  <c r="H256" i="1"/>
  <c r="H229" i="1"/>
  <c r="H264" i="1"/>
  <c r="H346" i="1"/>
  <c r="H183" i="1"/>
  <c r="H291" i="1"/>
  <c r="H255" i="1"/>
  <c r="H336" i="1"/>
  <c r="H309" i="1"/>
  <c r="H200" i="1"/>
  <c r="H447" i="1"/>
  <c r="H416" i="1"/>
  <c r="H363" i="1"/>
  <c r="H327" i="1"/>
  <c r="H318" i="1"/>
  <c r="H245" i="1"/>
  <c r="H445" i="1"/>
  <c r="H361" i="1"/>
  <c r="H325" i="1"/>
  <c r="H316" i="1"/>
  <c r="H243" i="1"/>
  <c r="H234" i="1"/>
  <c r="H207" i="1"/>
  <c r="H189" i="1"/>
  <c r="H388" i="1"/>
  <c r="H380" i="1"/>
  <c r="H225" i="1"/>
  <c r="H305" i="1"/>
  <c r="H359" i="1"/>
  <c r="H315" i="1"/>
  <c r="H232" i="1"/>
  <c r="H376" i="1"/>
  <c r="H350" i="1"/>
  <c r="H312" i="1"/>
  <c r="H266" i="1"/>
  <c r="H185" i="1"/>
  <c r="H357" i="1"/>
  <c r="H275" i="1"/>
  <c r="H221" i="1"/>
  <c r="H257" i="1"/>
  <c r="H448" i="1"/>
  <c r="H410" i="1"/>
  <c r="H393" i="1"/>
  <c r="H384" i="1"/>
  <c r="H402" i="1"/>
  <c r="H329" i="1"/>
  <c r="H320" i="1"/>
  <c r="H421" i="1"/>
  <c r="H382" i="1"/>
  <c r="H270" i="1"/>
  <c r="H246" i="1"/>
  <c r="H406" i="1"/>
  <c r="H390" i="1"/>
  <c r="H342" i="1"/>
  <c r="H278" i="1"/>
  <c r="H239" i="1"/>
  <c r="H231" i="1"/>
  <c r="H326" i="1"/>
  <c r="H295" i="1"/>
  <c r="H287" i="1"/>
  <c r="H434" i="1"/>
  <c r="H427" i="1"/>
  <c r="H389" i="1"/>
  <c r="H404" i="1"/>
  <c r="H341" i="1"/>
  <c r="H317" i="1"/>
  <c r="H244" i="1"/>
  <c r="H205" i="1"/>
  <c r="H236" i="1"/>
  <c r="H197" i="1"/>
  <c r="H405" i="1"/>
  <c r="H364" i="1"/>
  <c r="H348" i="1"/>
  <c r="H252" i="1"/>
  <c r="H308" i="1"/>
  <c r="H292" i="1"/>
  <c r="H260" i="1"/>
  <c r="H228" i="1"/>
  <c r="H180" i="1"/>
  <c r="H284" i="1"/>
  <c r="H196" i="1"/>
  <c r="H426" i="1"/>
  <c r="H432" i="1"/>
  <c r="H412" i="1"/>
  <c r="H440" i="1"/>
  <c r="H355" i="1"/>
  <c r="H331" i="1"/>
  <c r="H299" i="1"/>
  <c r="H258" i="1"/>
  <c r="H210" i="1"/>
  <c r="H187" i="1"/>
  <c r="H386" i="1"/>
  <c r="H274" i="1"/>
  <c r="H417" i="1"/>
  <c r="H379" i="1"/>
  <c r="H354" i="1"/>
  <c r="H330" i="1"/>
  <c r="H314" i="1"/>
  <c r="H298" i="1"/>
  <c r="H273" i="1"/>
  <c r="H267" i="1"/>
  <c r="H241" i="1"/>
  <c r="H202" i="1"/>
  <c r="H306" i="1"/>
  <c r="H186" i="1"/>
  <c r="H194" i="1"/>
  <c r="H281" i="1"/>
  <c r="H400" i="1"/>
  <c r="H288" i="1"/>
  <c r="H176" i="1"/>
  <c r="H399" i="1"/>
  <c r="H424" i="1"/>
  <c r="H396" i="1"/>
  <c r="H435" i="1"/>
  <c r="H407" i="1"/>
  <c r="H446" i="1"/>
  <c r="H418" i="1"/>
  <c r="H429" i="1"/>
  <c r="H401" i="1"/>
  <c r="H310" i="1"/>
  <c r="H282" i="1"/>
  <c r="H254" i="1"/>
  <c r="H226" i="1"/>
  <c r="H198" i="1"/>
  <c r="H349" i="1"/>
  <c r="H321" i="1"/>
  <c r="H293" i="1"/>
  <c r="H265" i="1"/>
  <c r="H237" i="1"/>
  <c r="H209" i="1"/>
  <c r="H181" i="1"/>
  <c r="H360" i="1"/>
  <c r="H304" i="1"/>
  <c r="H276" i="1"/>
  <c r="H248" i="1"/>
  <c r="H192" i="1"/>
  <c r="H439" i="1"/>
  <c r="H411" i="1"/>
  <c r="H394" i="1"/>
  <c r="A148" i="1"/>
  <c r="A76" i="1"/>
  <c r="A77" i="1" s="1"/>
  <c r="A78" i="1" s="1"/>
  <c r="A79" i="1" s="1"/>
  <c r="A80" i="1" s="1"/>
  <c r="A81" i="1" s="1"/>
  <c r="A82" i="1" s="1"/>
  <c r="A83" i="1" s="1"/>
  <c r="H83" i="1" s="1"/>
  <c r="H74" i="1"/>
  <c r="H73" i="1"/>
  <c r="A30" i="1"/>
  <c r="A39" i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H50" i="1" s="1"/>
  <c r="H35" i="1"/>
  <c r="H34" i="1"/>
  <c r="H33" i="1"/>
  <c r="H29" i="1"/>
  <c r="H28" i="1"/>
  <c r="H27" i="1"/>
  <c r="A1" i="2"/>
  <c r="H25" i="1"/>
  <c r="H15" i="1"/>
  <c r="H8" i="1"/>
  <c r="H64" i="1"/>
  <c r="H105" i="1"/>
  <c r="H104" i="1"/>
  <c r="H154" i="1"/>
  <c r="H91" i="1"/>
  <c r="H114" i="1"/>
  <c r="H170" i="1"/>
  <c r="H165" i="1"/>
  <c r="H125" i="1"/>
  <c r="H97" i="1"/>
  <c r="H172" i="1"/>
  <c r="H16" i="1"/>
  <c r="H93" i="1"/>
  <c r="H52" i="1"/>
  <c r="H65" i="1"/>
  <c r="H121" i="1"/>
  <c r="H115" i="1"/>
  <c r="H143" i="1"/>
  <c r="H68" i="1"/>
  <c r="H171" i="1"/>
  <c r="H162" i="1"/>
  <c r="H130" i="1"/>
  <c r="H102" i="1"/>
  <c r="H156" i="1"/>
  <c r="H137" i="1"/>
  <c r="H119" i="1"/>
  <c r="H166" i="1"/>
  <c r="H13" i="1"/>
  <c r="H145" i="1"/>
  <c r="H62" i="1"/>
  <c r="H98" i="1"/>
  <c r="H116" i="1"/>
  <c r="H108" i="1"/>
  <c r="H122" i="1"/>
  <c r="H169" i="1"/>
  <c r="H159" i="1"/>
  <c r="H113" i="1"/>
  <c r="H57" i="1"/>
  <c r="H85" i="1"/>
  <c r="H106" i="1"/>
  <c r="H123" i="1"/>
  <c r="H71" i="1"/>
  <c r="H131" i="1"/>
  <c r="H167" i="1"/>
  <c r="H140" i="1"/>
  <c r="H60" i="1"/>
  <c r="H173" i="1"/>
  <c r="H155" i="1"/>
  <c r="H87" i="1"/>
  <c r="H94" i="1"/>
  <c r="H128" i="1"/>
  <c r="H86" i="1"/>
  <c r="H41" i="1"/>
  <c r="H163" i="1"/>
  <c r="H58" i="1"/>
  <c r="H12" i="1"/>
  <c r="H126" i="1"/>
  <c r="H92" i="1"/>
  <c r="H127" i="1"/>
  <c r="H110" i="1"/>
  <c r="H56" i="1"/>
  <c r="H99" i="1"/>
  <c r="H142" i="1"/>
  <c r="H133" i="1"/>
  <c r="H134" i="1"/>
  <c r="H69" i="1"/>
  <c r="H26" i="1"/>
  <c r="H132" i="1"/>
  <c r="H117" i="1"/>
  <c r="H100" i="1"/>
  <c r="H157" i="1"/>
  <c r="H19" i="1"/>
  <c r="H63" i="1"/>
  <c r="H161" i="1"/>
  <c r="H120" i="1"/>
  <c r="H88" i="1"/>
  <c r="H144" i="1"/>
  <c r="H70" i="1"/>
  <c r="H46" i="1"/>
  <c r="H55" i="1"/>
  <c r="H112" i="1"/>
  <c r="H103" i="1"/>
  <c r="H11" i="1"/>
  <c r="H139" i="1"/>
  <c r="H111" i="1"/>
  <c r="H54" i="1"/>
  <c r="H138" i="1"/>
  <c r="H53" i="1"/>
  <c r="H153" i="1"/>
  <c r="H96" i="1"/>
  <c r="H67" i="1"/>
  <c r="H164" i="1"/>
  <c r="H135" i="1"/>
  <c r="H107" i="1"/>
  <c r="H146" i="1"/>
  <c r="H118" i="1"/>
  <c r="H90" i="1"/>
  <c r="H61" i="1"/>
  <c r="H158" i="1"/>
  <c r="H101" i="1"/>
  <c r="H72" i="1"/>
  <c r="H44" i="1"/>
  <c r="H20" i="1"/>
  <c r="H14" i="1"/>
  <c r="H23" i="1"/>
  <c r="H7" i="1"/>
  <c r="H6" i="1"/>
  <c r="H5" i="1"/>
  <c r="H4" i="1"/>
  <c r="H3" i="1"/>
  <c r="G11" i="1"/>
  <c r="G16" i="1"/>
  <c r="F18" i="1"/>
  <c r="E18" i="1"/>
  <c r="E10" i="1"/>
  <c r="F10" i="1"/>
  <c r="G10" i="1" s="1"/>
  <c r="E12" i="1"/>
  <c r="F12" i="1"/>
  <c r="G12" i="1" s="1"/>
  <c r="H40" i="1" l="1"/>
  <c r="H49" i="1"/>
  <c r="H39" i="1"/>
  <c r="H42" i="1"/>
  <c r="H148" i="1"/>
  <c r="A149" i="1"/>
  <c r="H45" i="1"/>
  <c r="H48" i="1"/>
  <c r="H47" i="1"/>
  <c r="H43" i="1"/>
  <c r="H82" i="1"/>
  <c r="H79" i="1"/>
  <c r="H80" i="1"/>
  <c r="H78" i="1"/>
  <c r="H81" i="1"/>
  <c r="H76" i="1"/>
  <c r="H77" i="1"/>
  <c r="H30" i="1"/>
  <c r="A31" i="1"/>
  <c r="H18" i="1"/>
  <c r="F13" i="1"/>
  <c r="E13" i="1"/>
  <c r="E15" i="1"/>
  <c r="F15" i="1"/>
  <c r="H149" i="1" l="1"/>
  <c r="A150" i="1"/>
  <c r="H31" i="1"/>
  <c r="H32" i="1"/>
  <c r="G15" i="1"/>
  <c r="H259" i="1" l="1"/>
  <c r="H242" i="1"/>
  <c r="A151" i="1"/>
  <c r="H150" i="1"/>
  <c r="E17" i="1"/>
  <c r="F17" i="1"/>
  <c r="G17" i="1" s="1"/>
  <c r="E21" i="1"/>
  <c r="F21" i="1"/>
  <c r="G21" i="1" s="1"/>
  <c r="H557" i="1" l="1"/>
  <c r="H565" i="1"/>
  <c r="H2" i="1"/>
  <c r="H573" i="1"/>
  <c r="H582" i="1"/>
  <c r="H151" i="1"/>
  <c r="H250" i="1"/>
  <c r="H272" i="1"/>
  <c r="H285" i="1"/>
  <c r="H21" i="1"/>
  <c r="H22" i="1"/>
  <c r="F20" i="1"/>
  <c r="G20" i="1" s="1"/>
  <c r="F28" i="1"/>
  <c r="G28" i="1" s="1"/>
  <c r="E28" i="1"/>
  <c r="E14" i="1"/>
  <c r="E20" i="1"/>
  <c r="F14" i="1"/>
  <c r="G14" i="1" s="1"/>
  <c r="E143" i="1" l="1"/>
  <c r="E67" i="1"/>
  <c r="E114" i="1"/>
  <c r="E168" i="1"/>
  <c r="F114" i="1"/>
  <c r="G114" i="1" s="1"/>
  <c r="F67" i="1"/>
  <c r="F143" i="1"/>
  <c r="G143" i="1" s="1"/>
  <c r="F168" i="1"/>
  <c r="G168" i="1" s="1"/>
  <c r="E135" i="1"/>
  <c r="E38" i="1"/>
  <c r="E64" i="1"/>
  <c r="E164" i="1"/>
  <c r="E84" i="1"/>
  <c r="E104" i="1"/>
  <c r="F104" i="1"/>
  <c r="G104" i="1" s="1"/>
  <c r="F164" i="1"/>
  <c r="G164" i="1" s="1"/>
  <c r="F38" i="1"/>
  <c r="G38" i="1" s="1"/>
  <c r="F135" i="1"/>
  <c r="G135" i="1" s="1"/>
  <c r="F64" i="1"/>
  <c r="G64" i="1" s="1"/>
  <c r="F84" i="1"/>
  <c r="G84" i="1" s="1"/>
  <c r="G22" i="1"/>
  <c r="H17" i="1" s="1"/>
  <c r="E140" i="1"/>
  <c r="E71" i="1"/>
  <c r="F140" i="1"/>
  <c r="G140" i="1" s="1"/>
  <c r="G24" i="1"/>
  <c r="F71" i="1"/>
  <c r="G71" i="1" s="1"/>
  <c r="F76" i="1"/>
  <c r="G76" i="1" s="1"/>
  <c r="G91" i="1"/>
  <c r="F172" i="1"/>
  <c r="G172" i="1" s="1"/>
  <c r="F96" i="1"/>
  <c r="G96" i="1" s="1"/>
  <c r="E157" i="1"/>
  <c r="E172" i="1"/>
  <c r="E117" i="1"/>
  <c r="E91" i="1"/>
  <c r="E76" i="1"/>
  <c r="E50" i="1"/>
  <c r="E96" i="1"/>
  <c r="F157" i="1"/>
  <c r="G157" i="1" s="1"/>
  <c r="F50" i="1"/>
  <c r="G50" i="1" s="1"/>
  <c r="F117" i="1"/>
  <c r="G117" i="1" s="1"/>
  <c r="E120" i="1"/>
  <c r="E60" i="1"/>
  <c r="E40" i="1"/>
  <c r="E88" i="1"/>
  <c r="E144" i="1"/>
  <c r="E77" i="1"/>
  <c r="E118" i="1"/>
  <c r="E49" i="1"/>
  <c r="E173" i="1"/>
  <c r="E95" i="1"/>
  <c r="E90" i="1"/>
  <c r="E156" i="1"/>
  <c r="E150" i="1"/>
  <c r="E81" i="1"/>
  <c r="E102" i="1"/>
  <c r="F120" i="1"/>
  <c r="G120" i="1" s="1"/>
  <c r="F88" i="1"/>
  <c r="F40" i="1"/>
  <c r="G27" i="1"/>
  <c r="G144" i="1"/>
  <c r="F173" i="1"/>
  <c r="G173" i="1" s="1"/>
  <c r="F77" i="1"/>
  <c r="G77" i="1" s="1"/>
  <c r="F156" i="1"/>
  <c r="G156" i="1" s="1"/>
  <c r="F95" i="1"/>
  <c r="G95" i="1" s="1"/>
  <c r="F49" i="1"/>
  <c r="G49" i="1" s="1"/>
  <c r="G29" i="1"/>
  <c r="F118" i="1"/>
  <c r="G118" i="1" s="1"/>
  <c r="F90" i="1"/>
  <c r="G90" i="1" s="1"/>
  <c r="H168" i="1" l="1"/>
  <c r="F150" i="1"/>
  <c r="G150" i="1" s="1"/>
  <c r="F81" i="1"/>
  <c r="G81" i="1" s="1"/>
  <c r="F102" i="1"/>
  <c r="G102" i="1" s="1"/>
  <c r="G32" i="1"/>
  <c r="H24" i="1"/>
  <c r="E74" i="1"/>
  <c r="E138" i="1"/>
  <c r="F138" i="1"/>
  <c r="G138" i="1" s="1"/>
  <c r="H136" i="1" s="1"/>
  <c r="G39" i="1"/>
  <c r="F74" i="1"/>
  <c r="G74" i="1" s="1"/>
  <c r="G44" i="1"/>
  <c r="H37" i="1"/>
  <c r="H10" i="1"/>
  <c r="F155" i="1"/>
  <c r="G155" i="1" s="1"/>
  <c r="H152" i="1" s="1"/>
  <c r="F52" i="1"/>
  <c r="F70" i="1"/>
  <c r="G70" i="1" s="1"/>
  <c r="F142" i="1"/>
  <c r="G142" i="1" s="1"/>
  <c r="F161" i="1"/>
  <c r="G161" i="1" s="1"/>
  <c r="F85" i="1"/>
  <c r="G85" i="1" s="1"/>
  <c r="H84" i="1" s="1"/>
  <c r="G65" i="1"/>
  <c r="H59" i="1" s="1"/>
  <c r="F116" i="1"/>
  <c r="G116" i="1" s="1"/>
  <c r="H109" i="1" s="1"/>
  <c r="F127" i="1"/>
  <c r="G127" i="1" s="1"/>
  <c r="F129" i="1"/>
  <c r="G129" i="1" s="1"/>
  <c r="H129" i="1" s="1"/>
  <c r="E85" i="1"/>
  <c r="E65" i="1"/>
  <c r="E155" i="1"/>
  <c r="E161" i="1"/>
  <c r="E116" i="1"/>
  <c r="E127" i="1"/>
  <c r="E70" i="1"/>
  <c r="E142" i="1"/>
  <c r="E129" i="1"/>
  <c r="E105" i="1"/>
  <c r="E80" i="1"/>
  <c r="E125" i="1"/>
  <c r="E106" i="1"/>
  <c r="E167" i="1"/>
  <c r="G53" i="1"/>
  <c r="E94" i="1"/>
  <c r="E165" i="1"/>
  <c r="F105" i="1"/>
  <c r="G105" i="1" s="1"/>
  <c r="F125" i="1"/>
  <c r="G125" i="1" s="1"/>
  <c r="G56" i="1"/>
  <c r="F80" i="1"/>
  <c r="G80" i="1" s="1"/>
  <c r="F106" i="1"/>
  <c r="G106" i="1" s="1"/>
  <c r="F167" i="1"/>
  <c r="G167" i="1" s="1"/>
  <c r="G57" i="1"/>
  <c r="F165" i="1"/>
  <c r="G165" i="1" s="1"/>
  <c r="F94" i="1"/>
  <c r="G94" i="1" s="1"/>
  <c r="H89" i="1" s="1"/>
  <c r="G58" i="1"/>
  <c r="H51" i="1" s="1"/>
  <c r="H160" i="1" l="1"/>
  <c r="E151" i="1"/>
  <c r="G78" i="1"/>
  <c r="H66" i="1" s="1"/>
  <c r="G151" i="1"/>
  <c r="H141" i="1" s="1"/>
  <c r="G108" i="1"/>
  <c r="H95" i="1" s="1"/>
  <c r="G124" i="1"/>
  <c r="H124" i="1" s="1"/>
  <c r="E147" i="1"/>
  <c r="E373" i="1"/>
  <c r="E396" i="1"/>
  <c r="F396" i="1"/>
  <c r="E450" i="1"/>
  <c r="G175" i="1"/>
  <c r="H174" i="1"/>
  <c r="G176" i="1"/>
  <c r="G201" i="1"/>
  <c r="F218" i="1"/>
  <c r="G218" i="1" s="1"/>
  <c r="F239" i="1"/>
  <c r="G239" i="1" s="1"/>
  <c r="E239" i="1"/>
  <c r="E218" i="1"/>
  <c r="E229" i="1"/>
  <c r="E207" i="1"/>
  <c r="E217" i="1"/>
  <c r="F229" i="1"/>
  <c r="F217" i="1"/>
  <c r="F207" i="1"/>
  <c r="G202" i="1"/>
  <c r="H190" i="1"/>
  <c r="G229" i="1" l="1"/>
  <c r="H220" i="1" s="1"/>
  <c r="G217" i="1"/>
  <c r="H212" i="1" s="1"/>
  <c r="G207" i="1"/>
  <c r="H204" i="1" s="1"/>
  <c r="G230" i="1"/>
  <c r="G231" i="1"/>
  <c r="G234" i="1"/>
  <c r="G236" i="1"/>
  <c r="H230" i="1" s="1"/>
  <c r="E418" i="1"/>
  <c r="E549" i="1"/>
  <c r="F418" i="1"/>
  <c r="F549" i="1"/>
  <c r="D549" i="1"/>
  <c r="G298" i="1"/>
  <c r="H297" i="1"/>
  <c r="G549" i="1" l="1"/>
  <c r="H549" i="1" s="1"/>
  <c r="G310" i="1"/>
  <c r="H302" i="1" s="1"/>
  <c r="D544" i="1"/>
  <c r="D543" i="1"/>
  <c r="D541" i="1"/>
  <c r="D540" i="1"/>
  <c r="D539" i="1"/>
  <c r="D545" i="1"/>
  <c r="D546" i="1"/>
  <c r="D542" i="1"/>
  <c r="H539" i="1"/>
  <c r="D538" i="1"/>
  <c r="D537" i="1"/>
  <c r="D536" i="1"/>
  <c r="D535" i="1"/>
  <c r="D531" i="1"/>
  <c r="D532" i="1"/>
  <c r="D533" i="1"/>
  <c r="D534" i="1"/>
  <c r="H531" i="1"/>
  <c r="D530" i="1"/>
  <c r="D529" i="1"/>
  <c r="D528" i="1"/>
  <c r="D527" i="1"/>
  <c r="D526" i="1"/>
  <c r="D525" i="1"/>
  <c r="D524" i="1"/>
  <c r="D523" i="1"/>
  <c r="D522" i="1"/>
  <c r="D521" i="1"/>
  <c r="H521" i="1"/>
  <c r="D520" i="1"/>
  <c r="D519" i="1"/>
  <c r="D518" i="1"/>
  <c r="D517" i="1"/>
  <c r="D516" i="1"/>
  <c r="D515" i="1"/>
  <c r="D514" i="1"/>
  <c r="D513" i="1"/>
  <c r="H513" i="1"/>
  <c r="D512" i="1"/>
  <c r="D511" i="1"/>
  <c r="D510" i="1"/>
  <c r="D509" i="1"/>
  <c r="D508" i="1"/>
  <c r="D507" i="1"/>
  <c r="D506" i="1"/>
  <c r="D505" i="1"/>
  <c r="H505" i="1"/>
  <c r="D504" i="1"/>
  <c r="D503" i="1"/>
  <c r="D502" i="1"/>
  <c r="D501" i="1"/>
  <c r="D500" i="1"/>
  <c r="D499" i="1"/>
  <c r="D498" i="1"/>
  <c r="D497" i="1"/>
  <c r="H497" i="1"/>
  <c r="D496" i="1"/>
  <c r="D495" i="1"/>
  <c r="D494" i="1"/>
  <c r="D493" i="1"/>
  <c r="D492" i="1"/>
  <c r="D491" i="1"/>
  <c r="D490" i="1"/>
  <c r="D489" i="1"/>
  <c r="D488" i="1"/>
  <c r="H488" i="1"/>
  <c r="D487" i="1"/>
  <c r="D486" i="1"/>
  <c r="D485" i="1"/>
  <c r="D484" i="1"/>
  <c r="D483" i="1"/>
  <c r="H483" i="1"/>
  <c r="D482" i="1"/>
  <c r="D481" i="1"/>
  <c r="D480" i="1"/>
  <c r="D479" i="1"/>
  <c r="D478" i="1"/>
  <c r="D477" i="1"/>
  <c r="D476" i="1"/>
  <c r="H476" i="1"/>
  <c r="D475" i="1"/>
  <c r="D474" i="1"/>
  <c r="D473" i="1"/>
  <c r="D472" i="1"/>
  <c r="D471" i="1"/>
  <c r="D470" i="1"/>
  <c r="D469" i="1"/>
  <c r="D468" i="1"/>
  <c r="D467" i="1"/>
  <c r="D466" i="1"/>
  <c r="H466" i="1"/>
  <c r="D465" i="1"/>
  <c r="D464" i="1"/>
  <c r="D463" i="1"/>
  <c r="D462" i="1"/>
  <c r="D461" i="1"/>
  <c r="D460" i="1"/>
  <c r="D459" i="1"/>
  <c r="D458" i="1"/>
  <c r="H458" i="1"/>
  <c r="D457" i="1"/>
  <c r="D456" i="1"/>
  <c r="D455" i="1"/>
  <c r="D454" i="1"/>
  <c r="D453" i="1"/>
  <c r="D452" i="1"/>
  <c r="D451" i="1"/>
  <c r="D450" i="1"/>
  <c r="D449" i="1"/>
  <c r="H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H437" i="1"/>
  <c r="D436" i="1"/>
  <c r="D435" i="1"/>
  <c r="D434" i="1"/>
  <c r="D433" i="1"/>
  <c r="D432" i="1"/>
  <c r="D431" i="1"/>
  <c r="D430" i="1"/>
  <c r="D429" i="1"/>
  <c r="D428" i="1"/>
  <c r="H428" i="1"/>
  <c r="D427" i="1"/>
  <c r="D426" i="1"/>
  <c r="D425" i="1"/>
  <c r="D424" i="1"/>
  <c r="D423" i="1"/>
  <c r="D422" i="1"/>
  <c r="H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H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H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H385" i="1"/>
  <c r="D384" i="1"/>
  <c r="D383" i="1"/>
  <c r="D382" i="1"/>
  <c r="D381" i="1"/>
  <c r="D380" i="1"/>
  <c r="D379" i="1"/>
  <c r="D378" i="1"/>
  <c r="D377" i="1"/>
  <c r="H377" i="1"/>
  <c r="D376" i="1"/>
  <c r="D375" i="1"/>
  <c r="D374" i="1"/>
  <c r="H374" i="1"/>
  <c r="D373" i="1"/>
  <c r="D372" i="1"/>
  <c r="D371" i="1"/>
  <c r="D370" i="1"/>
  <c r="D369" i="1"/>
  <c r="D368" i="1"/>
  <c r="D367" i="1"/>
  <c r="D366" i="1"/>
  <c r="D365" i="1"/>
  <c r="D364" i="1"/>
  <c r="D363" i="1"/>
  <c r="H362" i="1"/>
  <c r="D362" i="1"/>
  <c r="D361" i="1"/>
  <c r="D360" i="1"/>
  <c r="D359" i="1"/>
  <c r="D358" i="1"/>
  <c r="H358" i="1"/>
  <c r="D357" i="1"/>
  <c r="D356" i="1"/>
  <c r="D355" i="1"/>
  <c r="D354" i="1"/>
  <c r="D353" i="1"/>
  <c r="D352" i="1"/>
  <c r="H351" i="1"/>
  <c r="D351" i="1"/>
  <c r="D350" i="1"/>
  <c r="D349" i="1"/>
  <c r="D348" i="1"/>
  <c r="D347" i="1"/>
  <c r="D346" i="1"/>
  <c r="D345" i="1"/>
  <c r="H345" i="1"/>
  <c r="D344" i="1"/>
  <c r="D343" i="1"/>
  <c r="D342" i="1"/>
  <c r="D341" i="1"/>
  <c r="D340" i="1"/>
  <c r="D339" i="1"/>
  <c r="H338" i="1"/>
  <c r="D338" i="1"/>
  <c r="D337" i="1"/>
  <c r="D336" i="1"/>
  <c r="D335" i="1"/>
  <c r="D334" i="1"/>
  <c r="D333" i="1"/>
  <c r="D332" i="1"/>
  <c r="H332" i="1"/>
  <c r="D331" i="1"/>
  <c r="D330" i="1"/>
  <c r="D329" i="1"/>
  <c r="D328" i="1"/>
  <c r="D327" i="1"/>
  <c r="D326" i="1"/>
  <c r="D325" i="1"/>
  <c r="D324" i="1"/>
  <c r="D323" i="1"/>
  <c r="H322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H31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<sst xmlns="http://schemas.openxmlformats.org/spreadsheetml/2006/main" count="666" uniqueCount="88">
  <si>
    <t>品名</t>
  </si>
  <si>
    <t>規格</t>
  </si>
  <si>
    <t>數量</t>
  </si>
  <si>
    <t>單價</t>
  </si>
  <si>
    <t>金額</t>
  </si>
  <si>
    <t>台斤</t>
  </si>
  <si>
    <t>包</t>
  </si>
  <si>
    <t>盒</t>
  </si>
  <si>
    <t>日期</t>
    <phoneticPr fontId="2" type="noConversion"/>
  </si>
  <si>
    <t>欄1</t>
  </si>
  <si>
    <t>總計</t>
    <phoneticPr fontId="2" type="noConversion"/>
  </si>
  <si>
    <t>盒</t>
    <phoneticPr fontId="2" type="noConversion"/>
  </si>
  <si>
    <t>單位</t>
    <phoneticPr fontId="2" type="noConversion"/>
  </si>
  <si>
    <t>台斤</t>
    <phoneticPr fontId="2" type="noConversion"/>
  </si>
  <si>
    <t>包</t>
    <phoneticPr fontId="2" type="noConversion"/>
  </si>
  <si>
    <t>001.九層塔</t>
  </si>
  <si>
    <t>004.牛番茄</t>
  </si>
  <si>
    <t>004.牛番茄</t>
    <phoneticPr fontId="2" type="noConversion"/>
  </si>
  <si>
    <t>005.紅椒</t>
  </si>
  <si>
    <t>005.紅椒</t>
    <phoneticPr fontId="2" type="noConversion"/>
  </si>
  <si>
    <t>006.黃椒</t>
  </si>
  <si>
    <t>006.黃椒</t>
    <phoneticPr fontId="2" type="noConversion"/>
  </si>
  <si>
    <t>007.洋蔥</t>
  </si>
  <si>
    <t>007.洋蔥</t>
    <phoneticPr fontId="2" type="noConversion"/>
  </si>
  <si>
    <t>201.蛤蠣</t>
  </si>
  <si>
    <t>201.蛤蠣</t>
    <phoneticPr fontId="2" type="noConversion"/>
  </si>
  <si>
    <t>401.薄荷葉</t>
  </si>
  <si>
    <t>401.薄荷葉</t>
    <phoneticPr fontId="2" type="noConversion"/>
  </si>
  <si>
    <t>008.蒜(碎)</t>
  </si>
  <si>
    <t>008.蒜(碎)</t>
    <phoneticPr fontId="2" type="noConversion"/>
  </si>
  <si>
    <t>202.白蝦</t>
  </si>
  <si>
    <t>202.白蝦</t>
    <phoneticPr fontId="2" type="noConversion"/>
  </si>
  <si>
    <t>010.紫包心</t>
  </si>
  <si>
    <t>010.紫包心</t>
    <phoneticPr fontId="2" type="noConversion"/>
  </si>
  <si>
    <t>011.蘿蔓生菜</t>
  </si>
  <si>
    <t>011.蘿蔓生菜</t>
    <phoneticPr fontId="2" type="noConversion"/>
  </si>
  <si>
    <t>022.杏鮑菇</t>
  </si>
  <si>
    <t>022.杏鮑菇</t>
    <phoneticPr fontId="2" type="noConversion"/>
  </si>
  <si>
    <t>021.洋菇</t>
  </si>
  <si>
    <t>021.洋菇</t>
    <phoneticPr fontId="2" type="noConversion"/>
  </si>
  <si>
    <t>101.無骨雞腿</t>
  </si>
  <si>
    <t>101.無骨雞腿</t>
    <phoneticPr fontId="2" type="noConversion"/>
  </si>
  <si>
    <t>003.聖女番茄</t>
  </si>
  <si>
    <t>003.聖女番茄</t>
    <phoneticPr fontId="2" type="noConversion"/>
  </si>
  <si>
    <t>012.綠捲生菜</t>
  </si>
  <si>
    <t>012.綠捲生菜</t>
    <phoneticPr fontId="2" type="noConversion"/>
  </si>
  <si>
    <t>002.洋芋</t>
  </si>
  <si>
    <t>002.洋芋</t>
    <phoneticPr fontId="2" type="noConversion"/>
  </si>
  <si>
    <t>023.香菇</t>
  </si>
  <si>
    <t>023.香菇</t>
    <phoneticPr fontId="2" type="noConversion"/>
  </si>
  <si>
    <t>008.蒜頭</t>
  </si>
  <si>
    <t>008.蒜頭</t>
    <phoneticPr fontId="2" type="noConversion"/>
  </si>
  <si>
    <t>203.鯛魚片</t>
  </si>
  <si>
    <t>203.鯛魚片</t>
    <phoneticPr fontId="2" type="noConversion"/>
  </si>
  <si>
    <t>204.淡菜</t>
  </si>
  <si>
    <t>204.淡菜</t>
    <phoneticPr fontId="2" type="noConversion"/>
  </si>
  <si>
    <t>102.二節翅</t>
  </si>
  <si>
    <t>102.二節翅</t>
    <phoneticPr fontId="2" type="noConversion"/>
  </si>
  <si>
    <t>100.雞蛋</t>
  </si>
  <si>
    <t>100.雞蛋</t>
    <phoneticPr fontId="2" type="noConversion"/>
  </si>
  <si>
    <t>205.煙燻鮭魚</t>
  </si>
  <si>
    <t>205.煙燻鮭魚</t>
    <phoneticPr fontId="2" type="noConversion"/>
  </si>
  <si>
    <t>103.松阪肉</t>
  </si>
  <si>
    <t>103.松阪肉</t>
    <phoneticPr fontId="2" type="noConversion"/>
  </si>
  <si>
    <t>013.芝麻葉</t>
  </si>
  <si>
    <t>013.芝麻葉</t>
    <phoneticPr fontId="2" type="noConversion"/>
  </si>
  <si>
    <t>402.蘋果</t>
    <phoneticPr fontId="2" type="noConversion"/>
  </si>
  <si>
    <t>403.香吉士</t>
    <phoneticPr fontId="2" type="noConversion"/>
  </si>
  <si>
    <t>301.玉米粒</t>
  </si>
  <si>
    <t>301.玉米粒</t>
    <phoneticPr fontId="2" type="noConversion"/>
  </si>
  <si>
    <t>501.蝦夷蔥</t>
  </si>
  <si>
    <t>501.蝦夷蔥</t>
    <phoneticPr fontId="2" type="noConversion"/>
  </si>
  <si>
    <t>502.荷蘭豆</t>
  </si>
  <si>
    <t>502.荷蘭豆</t>
    <phoneticPr fontId="2" type="noConversion"/>
  </si>
  <si>
    <t>503.黃櫛瓜</t>
    <phoneticPr fontId="2" type="noConversion"/>
  </si>
  <si>
    <t>504.綠櫛瓜</t>
    <phoneticPr fontId="2" type="noConversion"/>
  </si>
  <si>
    <t>505.泰國蘆筍</t>
    <phoneticPr fontId="2" type="noConversion"/>
  </si>
  <si>
    <t>506.地瓜</t>
    <phoneticPr fontId="2" type="noConversion"/>
  </si>
  <si>
    <t>104.牛絞肉</t>
  </si>
  <si>
    <t>104.牛絞肉</t>
    <phoneticPr fontId="2" type="noConversion"/>
  </si>
  <si>
    <t>507.青花菜</t>
    <phoneticPr fontId="2" type="noConversion"/>
  </si>
  <si>
    <t>511.紅蘿蔔</t>
    <phoneticPr fontId="2" type="noConversion"/>
  </si>
  <si>
    <t>512.西芹</t>
    <phoneticPr fontId="2" type="noConversion"/>
  </si>
  <si>
    <t>513.百里香</t>
    <phoneticPr fontId="2" type="noConversion"/>
  </si>
  <si>
    <t>514.老薑</t>
    <phoneticPr fontId="2" type="noConversion"/>
  </si>
  <si>
    <t>515.蔥</t>
    <phoneticPr fontId="2" type="noConversion"/>
  </si>
  <si>
    <t>顆</t>
  </si>
  <si>
    <t>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</si>
</sst>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76" formatCode="0.00_);[Red]\(0.00\)"/>
    <numFmt numFmtId="183" formatCode="yyyy/mm/dd;@"/>
    <numFmt numFmtId="189" formatCode="_-* #,##0_-;\-* #,##0_-;_-* &quot;-&quot;??_-;_-@_-"/>
    <numFmt numFmtId="191" formatCode="_-&quot;$&quot;* #,##0_-;\-&quot;$&quot;* #,##0_-;_-&quot;$&quot;* &quot;-&quot;??_-;_-@_-"/>
  </numFmts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4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176" fontId="0" fillId="0" borderId="0" xfId="0" applyNumberFormat="1">
      <alignment vertical="center"/>
    </xf>
    <xf numFmtId="49" fontId="0" fillId="0" borderId="0" xfId="0" applyNumberFormat="1" applyAlignment="1">
      <alignment horizontal="right" vertical="center"/>
    </xf>
    <xf numFmtId="43" fontId="0" fillId="0" borderId="0" xfId="1" applyNumberFormat="1" applyFont="1">
      <alignment vertical="center"/>
    </xf>
    <xf numFmtId="183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right" vertical="center"/>
    </xf>
    <xf numFmtId="43" fontId="0" fillId="0" borderId="0" xfId="0" applyNumberFormat="1" applyAlignment="1">
      <alignment horizontal="right" vertical="center"/>
    </xf>
    <xf numFmtId="189" fontId="0" fillId="0" borderId="0" xfId="1" applyNumberFormat="1" applyFont="1">
      <alignment vertical="center"/>
    </xf>
    <xf numFmtId="191" fontId="0" fillId="0" borderId="0" xfId="1" applyNumberFormat="1" applyFont="1">
      <alignment vertical="center"/>
    </xf>
    <xf numFmtId="43" fontId="0" fillId="0" borderId="0" xfId="1" applyNumberFormat="1" applyFont="1" applyAlignment="1">
      <alignment horizontal="right"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</cellXfs>
  <cellStyles count="2">
    <cellStyle name="一般" xfId="0" builtinId="0"/>
    <cellStyle name="貨幣" xfId="1" builtinId="4"/>
  </cellStyles>
  <dxfs count="6">
    <dxf>
      <numFmt numFmtId="191" formatCode="_-&quot;$&quot;* #,##0_-;\-&quot;$&quot;* #,##0_-;_-&quot;$&quot;* &quot;-&quot;??_-;_-@_-"/>
    </dxf>
    <dxf>
      <numFmt numFmtId="189" formatCode="_-* #,##0_-;\-* #,##0_-;_-* &quot;-&quot;??_-;_-@_-"/>
    </dxf>
    <dxf>
      <numFmt numFmtId="35" formatCode="_-* #,##0.00_-;\-* #,##0.00_-;_-* &quot;-&quot;??_-;_-@_-"/>
    </dxf>
    <dxf>
      <numFmt numFmtId="30" formatCode="@"/>
      <alignment horizontal="right" vertical="center" textRotation="0" wrapText="0" indent="0" justifyLastLine="0" shrinkToFit="0" readingOrder="0"/>
    </dxf>
    <dxf>
      <numFmt numFmtId="176" formatCode="0.00_);[Red]\(0.00\)"/>
    </dxf>
    <dxf>
      <numFmt numFmtId="183" formatCode="yyyy/mm/dd;@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861150-C5EA-463F-B8DE-26C51263100F}" name="總表" displayName="總表" ref="A1:H1000" totalsRowShown="0">
  <autoFilter ref="A1:H1000" xr:uid="{48861150-C5EA-463F-B8DE-26C51263100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AE15FD0-8BCA-47F8-A7D2-9C49597B4E8B}" name="日期" dataDxfId="5">
      <calculatedColumnFormula>IF(B2="","",A1)</calculatedColumnFormula>
    </tableColumn>
    <tableColumn id="2" xr3:uid="{78A51214-4805-43D7-9467-F6790BEEF9B4}" name="品名"/>
    <tableColumn id="3" xr3:uid="{7F835730-AD84-442E-97DD-EB58CAE41010}" name="規格"/>
    <tableColumn id="4" xr3:uid="{BE4841F3-176B-462D-87A1-E4E0D74475E2}" name="數量" dataDxfId="4"/>
    <tableColumn id="5" xr3:uid="{9FC6E1AE-9D0D-4EF2-90BB-BB5E21913F2D}" name="單位" dataDxfId="3"/>
    <tableColumn id="6" xr3:uid="{80F0D3F6-D061-4AE7-96AB-BE3D65BE7A2C}" name="單價" dataDxfId="2" dataCellStyle="貨幣"/>
    <tableColumn id="7" xr3:uid="{377C3DCD-8BD7-4E31-A1EB-F6ADD1FBF8F6}" name="金額" dataDxfId="1" dataCellStyle="貨幣"/>
    <tableColumn id="8" xr3:uid="{59A9B2CC-577A-4DA2-8047-47840AC8D610}" name="總計" dataDxfId="0" dataCellStyle="貨幣">
      <calculatedColumnFormula>IF(A2&lt;&gt;A1,SUMIF(A:A, A2, G:G),"")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1A7E2A-AEB2-4C42-819C-8E473369DDE3}" name="單位清單" displayName="單位清單" ref="D2:D6" headerRowCount="0" totalsRowShown="0">
  <tableColumns count="1">
    <tableColumn id="1" xr3:uid="{C86954E5-C281-4B05-AB0B-6412B50D3394}" name="單位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58A52-DEF1-4CC8-8293-47F44CEB0C55}">
  <dimension ref="A1:N1000"/>
  <sheetViews>
    <sheetView tabSelected="1" topLeftCell="A560" zoomScaleNormal="100" workbookViewId="0">
      <selection activeCell="O573" sqref="O573"/>
    </sheetView>
  </sheetViews>
  <sheetFormatPr defaultRowHeight="16.2" x14ac:dyDescent="0.3"/>
  <cols>
    <col min="1" max="1" width="12.109375" style="4" customWidth="1"/>
    <col min="2" max="2" width="19.33203125" customWidth="1"/>
    <col min="4" max="4" width="8.88671875" style="1"/>
    <col min="5" max="5" width="8.88671875" style="2"/>
    <col min="6" max="6" width="10" style="3" bestFit="1" customWidth="1"/>
    <col min="7" max="7" width="11.109375" style="7" bestFit="1" customWidth="1"/>
    <col min="8" max="8" width="14.6640625" style="8" customWidth="1"/>
    <col min="9" max="9" width="17.44140625" customWidth="1"/>
  </cols>
  <sheetData>
    <row r="1" spans="1:14" x14ac:dyDescent="0.3">
      <c r="A1" s="4" t="s">
        <v>8</v>
      </c>
      <c r="B1" t="s">
        <v>0</v>
      </c>
      <c r="C1" t="s">
        <v>1</v>
      </c>
      <c r="D1" s="3" t="s">
        <v>2</v>
      </c>
      <c r="E1" s="3" t="s">
        <v>12</v>
      </c>
      <c r="F1" s="3" t="s">
        <v>3</v>
      </c>
      <c r="G1" s="7" t="s">
        <v>4</v>
      </c>
      <c r="H1" s="8" t="s">
        <v>10</v>
      </c>
    </row>
    <row r="2" spans="1:14" x14ac:dyDescent="0.3">
      <c r="A2" s="4">
        <v>45791</v>
      </c>
      <c r="B2" t="s">
        <v>15</v>
      </c>
      <c r="D2" s="1">
        <v>0.19</v>
      </c>
      <c r="E2" s="5" t="s">
        <v>5</v>
      </c>
      <c r="F2" s="3">
        <v>100</v>
      </c>
      <c r="G2" s="7">
        <f>IFERROR(總表[[#This Row],[數量]]*總表[[#This Row],[單價]],"")</f>
        <v>19</v>
      </c>
      <c r="H2" s="8">
        <f>IF(A2&lt;&gt;A1,SUMIF(A:A, A2, G:G),"")</f>
        <v>1135.8</v>
      </c>
    </row>
    <row r="3" spans="1:14" x14ac:dyDescent="0.3">
      <c r="A3" s="4">
        <f t="shared" ref="A3:A11" si="0">IF(B3="","",A2)</f>
        <v>45791</v>
      </c>
      <c r="B3" t="s">
        <v>44</v>
      </c>
      <c r="D3" s="1">
        <v>0.186</v>
      </c>
      <c r="E3" s="5" t="s">
        <v>5</v>
      </c>
      <c r="F3" s="3">
        <v>300</v>
      </c>
      <c r="G3" s="7">
        <f>IFERROR(總表[[#This Row],[數量]]*總表[[#This Row],[單價]],"")</f>
        <v>55.8</v>
      </c>
      <c r="H3" s="8" t="str">
        <f>IF(A3&lt;&gt;A2,SUMIF(A:A, A3, G:G),"")</f>
        <v/>
      </c>
    </row>
    <row r="4" spans="1:14" x14ac:dyDescent="0.3">
      <c r="A4" s="4">
        <f t="shared" si="0"/>
        <v>45791</v>
      </c>
      <c r="B4" t="s">
        <v>38</v>
      </c>
      <c r="D4" s="1">
        <v>3</v>
      </c>
      <c r="E4" s="5" t="s">
        <v>7</v>
      </c>
      <c r="F4" s="3">
        <v>85</v>
      </c>
      <c r="G4" s="7">
        <f>IFERROR(總表[[#This Row],[數量]]*總表[[#This Row],[單價]],"")</f>
        <v>255</v>
      </c>
      <c r="H4" s="8" t="str">
        <f>IF(A4&lt;&gt;A3,SUMIF(A:A, A4, G:G),"")</f>
        <v/>
      </c>
    </row>
    <row r="5" spans="1:14" x14ac:dyDescent="0.3">
      <c r="A5" s="4">
        <f t="shared" si="0"/>
        <v>45791</v>
      </c>
      <c r="B5" t="s">
        <v>17</v>
      </c>
      <c r="D5" s="1">
        <v>1</v>
      </c>
      <c r="E5" s="5" t="s">
        <v>5</v>
      </c>
      <c r="F5" s="3">
        <v>80</v>
      </c>
      <c r="G5" s="7">
        <f>IFERROR(總表[[#This Row],[數量]]*總表[[#This Row],[單價]],"")</f>
        <v>80</v>
      </c>
      <c r="H5" s="8" t="str">
        <f>IF(A5&lt;&gt;A4,SUMIF(A:A, A5, G:G),"")</f>
        <v/>
      </c>
    </row>
    <row r="6" spans="1:14" x14ac:dyDescent="0.3">
      <c r="A6" s="4">
        <f t="shared" si="0"/>
        <v>45791</v>
      </c>
      <c r="B6" t="s">
        <v>19</v>
      </c>
      <c r="D6" s="1">
        <v>1.1839999999999999</v>
      </c>
      <c r="E6" s="5" t="s">
        <v>5</v>
      </c>
      <c r="F6" s="3">
        <v>125</v>
      </c>
      <c r="G6" s="7">
        <f>IFERROR(總表[[#This Row],[數量]]*總表[[#This Row],[單價]],"")</f>
        <v>148</v>
      </c>
      <c r="H6" s="8" t="str">
        <f>IF(A6&lt;&gt;A5,SUMIF(A:A, A6, G:G),"")</f>
        <v/>
      </c>
    </row>
    <row r="7" spans="1:14" x14ac:dyDescent="0.3">
      <c r="A7" s="4">
        <f t="shared" si="0"/>
        <v>45791</v>
      </c>
      <c r="B7" t="s">
        <v>21</v>
      </c>
      <c r="D7" s="1">
        <v>1</v>
      </c>
      <c r="E7" s="5" t="s">
        <v>5</v>
      </c>
      <c r="F7" s="3">
        <v>120</v>
      </c>
      <c r="G7" s="7">
        <f>IFERROR(總表[[#This Row],[數量]]*總表[[#This Row],[單價]],"")</f>
        <v>120</v>
      </c>
      <c r="H7" s="8" t="str">
        <f>IF(A7&lt;&gt;A6,SUMIF(A:A, A7, G:G),"")</f>
        <v/>
      </c>
    </row>
    <row r="8" spans="1:14" x14ac:dyDescent="0.3">
      <c r="A8" s="4">
        <f t="shared" si="0"/>
        <v>45791</v>
      </c>
      <c r="B8" t="s">
        <v>25</v>
      </c>
      <c r="D8" s="1">
        <v>2</v>
      </c>
      <c r="E8" s="5" t="s">
        <v>5</v>
      </c>
      <c r="F8" s="3">
        <v>155</v>
      </c>
      <c r="G8" s="7">
        <f>IFERROR(總表[[#This Row],[數量]]*總表[[#This Row],[單價]],"")</f>
        <v>310</v>
      </c>
      <c r="H8" s="8" t="str">
        <f>IF(A8&lt;&gt;A7,SUMIF(A:A, A8, G:G),"")</f>
        <v/>
      </c>
    </row>
    <row r="9" spans="1:14" x14ac:dyDescent="0.3">
      <c r="A9" s="4">
        <f t="shared" si="0"/>
        <v>45791</v>
      </c>
      <c r="B9" t="s">
        <v>23</v>
      </c>
      <c r="D9" s="1">
        <v>3.7</v>
      </c>
      <c r="E9" s="5" t="s">
        <v>5</v>
      </c>
      <c r="F9" s="3">
        <v>40</v>
      </c>
      <c r="G9" s="7">
        <f>IFERROR(總表[[#This Row],[數量]]*總表[[#This Row],[單價]],"")</f>
        <v>148</v>
      </c>
      <c r="H9" s="8" t="str">
        <f>IF(A9&lt;&gt;A8,SUMIF(A:A, A9, G:G),"")</f>
        <v/>
      </c>
    </row>
    <row r="10" spans="1:14" x14ac:dyDescent="0.3">
      <c r="A10" s="4">
        <v>45793</v>
      </c>
      <c r="B10" t="s">
        <v>15</v>
      </c>
      <c r="D10" s="1">
        <v>0.25</v>
      </c>
      <c r="E10" s="5" t="str">
        <f>_xlfn.IFNA(VLOOKUP(B10,$B:$G,4,0),"")</f>
        <v>台斤</v>
      </c>
      <c r="F10" s="6">
        <f>_xlfn.IFNA(VLOOKUP(B10,$B:$G,5,0),"")</f>
        <v>100</v>
      </c>
      <c r="G10" s="7">
        <f>IFERROR(總表[[#This Row],[數量]]*總表[[#This Row],[單價]],"")</f>
        <v>25</v>
      </c>
      <c r="H10" s="8">
        <f>IF(A10&lt;&gt;A9,SUMIF(A:A, A10, G:G),"")</f>
        <v>1357.5</v>
      </c>
    </row>
    <row r="11" spans="1:14" x14ac:dyDescent="0.3">
      <c r="A11" s="4">
        <f t="shared" si="0"/>
        <v>45793</v>
      </c>
      <c r="B11" t="s">
        <v>27</v>
      </c>
      <c r="D11" s="1">
        <v>1</v>
      </c>
      <c r="E11" s="5" t="s">
        <v>6</v>
      </c>
      <c r="F11" s="9">
        <v>100</v>
      </c>
      <c r="G11" s="7">
        <f>IFERROR(總表[[#This Row],[數量]]*總表[[#This Row],[單價]],"")</f>
        <v>100</v>
      </c>
      <c r="H11" s="8" t="str">
        <f>IF(A11&lt;&gt;A10,SUMIF(A:A, A11, G:G),"")</f>
        <v/>
      </c>
    </row>
    <row r="12" spans="1:14" x14ac:dyDescent="0.3">
      <c r="A12" s="4">
        <f t="shared" ref="A12:A25" si="1">IF(B12="","",A11)</f>
        <v>45793</v>
      </c>
      <c r="B12" t="s">
        <v>18</v>
      </c>
      <c r="D12" s="1">
        <v>2.1800000000000002</v>
      </c>
      <c r="E12" s="5" t="str">
        <f>_xlfn.IFNA(VLOOKUP(B12,$B:$G,4,0),"")</f>
        <v>台斤</v>
      </c>
      <c r="F12" s="6">
        <f>_xlfn.IFNA(VLOOKUP(B12,$B:$G,5,0),"")</f>
        <v>125</v>
      </c>
      <c r="G12" s="7">
        <f>IFERROR(總表[[#This Row],[數量]]*總表[[#This Row],[單價]],"")</f>
        <v>272.5</v>
      </c>
      <c r="H12" s="8" t="str">
        <f>IF(A12&lt;&gt;A11,SUMIF(A:A, A12, G:G),"")</f>
        <v/>
      </c>
      <c r="N12" s="10"/>
    </row>
    <row r="13" spans="1:14" x14ac:dyDescent="0.3">
      <c r="A13" s="4">
        <f t="shared" si="1"/>
        <v>45793</v>
      </c>
      <c r="B13" t="s">
        <v>20</v>
      </c>
      <c r="D13" s="1">
        <v>2.12</v>
      </c>
      <c r="E13" s="5" t="str">
        <f>_xlfn.IFNA(VLOOKUP(B13,$B:$G,4,0),"")</f>
        <v>台斤</v>
      </c>
      <c r="F13" s="6">
        <f>_xlfn.IFNA(VLOOKUP(B13,$B:$G,5,0),"")</f>
        <v>120</v>
      </c>
      <c r="G13" s="7">
        <v>255</v>
      </c>
      <c r="H13" s="8" t="str">
        <f>IF(A13&lt;&gt;A12,SUMIF(A:A, A13, G:G),"")</f>
        <v/>
      </c>
    </row>
    <row r="14" spans="1:14" x14ac:dyDescent="0.3">
      <c r="A14" s="4">
        <f t="shared" si="1"/>
        <v>45793</v>
      </c>
      <c r="B14" t="s">
        <v>38</v>
      </c>
      <c r="D14" s="1">
        <v>6</v>
      </c>
      <c r="E14" s="5" t="str">
        <f>_xlfn.IFNA(VLOOKUP(B14,$B:$G,4,0),"")</f>
        <v>盒</v>
      </c>
      <c r="F14" s="6">
        <f>_xlfn.IFNA(VLOOKUP(B14,$B:$G,5,0),"")</f>
        <v>85</v>
      </c>
      <c r="G14" s="7">
        <f>IFERROR(總表[[#This Row],[數量]]*總表[[#This Row],[單價]],"")</f>
        <v>510</v>
      </c>
      <c r="H14" s="8" t="str">
        <f>IF(A14&lt;&gt;A13,SUMIF(A:A, A14, G:G),"")</f>
        <v/>
      </c>
    </row>
    <row r="15" spans="1:14" x14ac:dyDescent="0.3">
      <c r="A15" s="4">
        <f t="shared" si="1"/>
        <v>45793</v>
      </c>
      <c r="B15" t="s">
        <v>44</v>
      </c>
      <c r="D15" s="1">
        <v>0.25</v>
      </c>
      <c r="E15" s="5" t="str">
        <f>_xlfn.IFNA(VLOOKUP(B15,$B:$G,4,0),"")</f>
        <v>台斤</v>
      </c>
      <c r="F15" s="6">
        <f>_xlfn.IFNA(VLOOKUP(B15,$B:$G,5,0),"")</f>
        <v>300</v>
      </c>
      <c r="G15" s="7">
        <f>IFERROR(總表[[#This Row],[數量]]*總表[[#This Row],[單價]],"")</f>
        <v>75</v>
      </c>
      <c r="H15" s="8" t="str">
        <f>IF(A15&lt;&gt;A14,SUMIF(A:A, A15, G:G),"")</f>
        <v/>
      </c>
    </row>
    <row r="16" spans="1:14" x14ac:dyDescent="0.3">
      <c r="A16" s="4">
        <f t="shared" si="1"/>
        <v>45793</v>
      </c>
      <c r="B16" t="s">
        <v>29</v>
      </c>
      <c r="D16" s="1">
        <v>1</v>
      </c>
      <c r="E16" s="5" t="s">
        <v>5</v>
      </c>
      <c r="F16" s="6">
        <v>120</v>
      </c>
      <c r="G16" s="7">
        <f>IFERROR(總表[[#This Row],[數量]]*總表[[#This Row],[單價]],"")</f>
        <v>120</v>
      </c>
      <c r="H16" s="8" t="str">
        <f>IF(A16&lt;&gt;A15,SUMIF(A:A, A16, G:G),"")</f>
        <v/>
      </c>
    </row>
    <row r="17" spans="1:14" x14ac:dyDescent="0.3">
      <c r="A17" s="4">
        <v>45794</v>
      </c>
      <c r="B17" t="s">
        <v>26</v>
      </c>
      <c r="D17" s="1">
        <v>1</v>
      </c>
      <c r="E17" s="5" t="str">
        <f>_xlfn.IFNA(VLOOKUP(B17,$B:$G,4,0),"")</f>
        <v>包</v>
      </c>
      <c r="F17" s="6">
        <f>_xlfn.IFNA(VLOOKUP(B17,$B:$G,5,0),"")</f>
        <v>100</v>
      </c>
      <c r="G17" s="7">
        <f>IFERROR(總表[[#This Row],[數量]]*總表[[#This Row],[單價]],"")</f>
        <v>100</v>
      </c>
      <c r="H17" s="8">
        <f>IF(A17&lt;&gt;A16,SUMIF(A:A, A17, G:G),"")</f>
        <v>2369</v>
      </c>
    </row>
    <row r="18" spans="1:14" x14ac:dyDescent="0.3">
      <c r="A18" s="4">
        <f t="shared" si="1"/>
        <v>45794</v>
      </c>
      <c r="B18" t="s">
        <v>44</v>
      </c>
      <c r="D18" s="1">
        <v>0.18</v>
      </c>
      <c r="E18" s="5" t="str">
        <f>_xlfn.IFNA(VLOOKUP(B18,$B:$G,4,0),"")</f>
        <v>台斤</v>
      </c>
      <c r="F18" s="6">
        <f>_xlfn.IFNA(VLOOKUP(B18,$B:$G,5,0),"")</f>
        <v>300</v>
      </c>
      <c r="G18" s="7">
        <v>56</v>
      </c>
      <c r="H18" s="8" t="str">
        <f>IF(A18&lt;&gt;A17,SUMIF(A:A, A18, G:G),"")</f>
        <v/>
      </c>
      <c r="N18" s="10"/>
    </row>
    <row r="19" spans="1:14" x14ac:dyDescent="0.3">
      <c r="A19" s="4">
        <f t="shared" si="1"/>
        <v>45794</v>
      </c>
      <c r="B19" t="s">
        <v>64</v>
      </c>
      <c r="D19" s="1">
        <v>0.12</v>
      </c>
      <c r="E19" s="5" t="s">
        <v>5</v>
      </c>
      <c r="F19" s="6">
        <v>1100</v>
      </c>
      <c r="G19" s="7">
        <v>138</v>
      </c>
      <c r="H19" s="8" t="str">
        <f>IF(A19&lt;&gt;A18,SUMIF(A:A, A19, G:G),"")</f>
        <v/>
      </c>
    </row>
    <row r="20" spans="1:14" x14ac:dyDescent="0.3">
      <c r="A20" s="4">
        <f t="shared" si="1"/>
        <v>45794</v>
      </c>
      <c r="B20" t="s">
        <v>38</v>
      </c>
      <c r="D20" s="1">
        <v>6</v>
      </c>
      <c r="E20" s="5" t="str">
        <f>_xlfn.IFNA(VLOOKUP(B20,$B:$G,4,0),"")</f>
        <v>盒</v>
      </c>
      <c r="F20" s="6">
        <f>_xlfn.IFNA(VLOOKUP(B20,$B:$G,5,0),"")</f>
        <v>85</v>
      </c>
      <c r="G20" s="7">
        <f>IFERROR(總表[[#This Row],[數量]]*總表[[#This Row],[單價]],"")</f>
        <v>510</v>
      </c>
      <c r="H20" s="8" t="str">
        <f>IF(A20&lt;&gt;A19,SUMIF(A:A, A20, G:G),"")</f>
        <v/>
      </c>
    </row>
    <row r="21" spans="1:14" x14ac:dyDescent="0.3">
      <c r="A21" s="4">
        <f t="shared" si="1"/>
        <v>45794</v>
      </c>
      <c r="B21" t="s">
        <v>24</v>
      </c>
      <c r="D21" s="1">
        <v>2</v>
      </c>
      <c r="E21" s="5" t="str">
        <f>_xlfn.IFNA(VLOOKUP(B21,$B:$G,4,0),"")</f>
        <v>台斤</v>
      </c>
      <c r="F21" s="6">
        <f>_xlfn.IFNA(VLOOKUP(B21,$B:$G,5,0),"")</f>
        <v>155</v>
      </c>
      <c r="G21" s="7">
        <f>IFERROR(總表[[#This Row],[數量]]*總表[[#This Row],[單價]],"")</f>
        <v>310</v>
      </c>
      <c r="H21" s="8" t="str">
        <f>IF(A21&lt;&gt;A20,SUMIF(A:A, A21, G:G),"")</f>
        <v/>
      </c>
    </row>
    <row r="22" spans="1:14" x14ac:dyDescent="0.3">
      <c r="A22" s="4">
        <f t="shared" si="1"/>
        <v>45794</v>
      </c>
      <c r="B22" t="s">
        <v>31</v>
      </c>
      <c r="D22" s="1">
        <v>4</v>
      </c>
      <c r="E22" s="5" t="s">
        <v>7</v>
      </c>
      <c r="F22" s="6">
        <v>280</v>
      </c>
      <c r="G22" s="7">
        <f>IFERROR(總表[[#This Row],[數量]]*總表[[#This Row],[單價]],"")</f>
        <v>1120</v>
      </c>
      <c r="H22" s="8" t="str">
        <f>IF(A22&lt;&gt;A21,SUMIF(A:A, A22, G:G),"")</f>
        <v/>
      </c>
    </row>
    <row r="23" spans="1:14" x14ac:dyDescent="0.3">
      <c r="A23" s="4">
        <f t="shared" si="1"/>
        <v>45794</v>
      </c>
      <c r="B23" t="s">
        <v>22</v>
      </c>
      <c r="D23" s="1">
        <v>3.35</v>
      </c>
      <c r="E23" s="5" t="str">
        <f>_xlfn.IFNA(VLOOKUP(B23,$B:$G,4,0),"")</f>
        <v>台斤</v>
      </c>
      <c r="F23" s="6">
        <f>_xlfn.IFNA(VLOOKUP(B23,$B:$G,5,0),"")</f>
        <v>40</v>
      </c>
      <c r="G23" s="7">
        <v>135</v>
      </c>
      <c r="H23" s="8" t="str">
        <f>IF(A23&lt;&gt;A22,SUMIF(A:A, A23, G:G),"")</f>
        <v/>
      </c>
    </row>
    <row r="24" spans="1:14" x14ac:dyDescent="0.3">
      <c r="A24" s="4">
        <v>45795</v>
      </c>
      <c r="B24" t="s">
        <v>33</v>
      </c>
      <c r="D24" s="1">
        <v>0.375</v>
      </c>
      <c r="E24" s="5" t="s">
        <v>5</v>
      </c>
      <c r="F24" s="6">
        <v>240</v>
      </c>
      <c r="G24" s="7">
        <f>IFERROR(總表[[#This Row],[數量]]*總表[[#This Row],[單價]],"")</f>
        <v>90</v>
      </c>
      <c r="H24" s="8">
        <f>IF(A24&lt;&gt;A23,SUMIF(A:A, A24, G:G),"")</f>
        <v>4135</v>
      </c>
    </row>
    <row r="25" spans="1:14" x14ac:dyDescent="0.3">
      <c r="A25" s="4">
        <f t="shared" si="1"/>
        <v>45795</v>
      </c>
      <c r="B25" t="s">
        <v>15</v>
      </c>
      <c r="D25" s="1">
        <v>0.18</v>
      </c>
      <c r="E25" s="5" t="str">
        <f>_xlfn.IFNA(VLOOKUP(B25,$B:$G,4,0),"")</f>
        <v>台斤</v>
      </c>
      <c r="F25" s="6">
        <f>_xlfn.IFNA(VLOOKUP(B25,$B:$G,5,0),"")</f>
        <v>100</v>
      </c>
      <c r="G25" s="7">
        <v>19</v>
      </c>
      <c r="H25" s="8" t="str">
        <f>IF(A25&lt;&gt;A24,SUMIF(A:A, A25, G:G),"")</f>
        <v/>
      </c>
    </row>
    <row r="26" spans="1:14" x14ac:dyDescent="0.3">
      <c r="A26" s="4">
        <f t="shared" ref="A26:A92" si="2">IF(B26="","",A25)</f>
        <v>45795</v>
      </c>
      <c r="B26" t="s">
        <v>44</v>
      </c>
      <c r="D26" s="1">
        <v>0.18</v>
      </c>
      <c r="E26" s="5" t="str">
        <f>_xlfn.IFNA(VLOOKUP(B26,$B:$G,4,0),"")</f>
        <v>台斤</v>
      </c>
      <c r="F26" s="6">
        <f>_xlfn.IFNA(VLOOKUP(B26,$B:$G,5,0),"")</f>
        <v>300</v>
      </c>
      <c r="G26" s="7">
        <v>56</v>
      </c>
      <c r="H26" s="8" t="str">
        <f>IF(A26&lt;&gt;A25,SUMIF(A:A, A26, G:G),"")</f>
        <v/>
      </c>
    </row>
    <row r="27" spans="1:14" x14ac:dyDescent="0.3">
      <c r="A27" s="4">
        <f t="shared" si="2"/>
        <v>45795</v>
      </c>
      <c r="B27" t="s">
        <v>35</v>
      </c>
      <c r="D27" s="1">
        <v>2.56</v>
      </c>
      <c r="E27" s="5" t="s">
        <v>5</v>
      </c>
      <c r="F27" s="6">
        <v>100</v>
      </c>
      <c r="G27" s="7">
        <f>IFERROR(總表[[#This Row],[數量]]*總表[[#This Row],[單價]],"")</f>
        <v>256</v>
      </c>
      <c r="H27" s="8" t="str">
        <f>IF(A27&lt;&gt;A26,SUMIF(A:A, A27, G:G),"")</f>
        <v/>
      </c>
    </row>
    <row r="28" spans="1:14" x14ac:dyDescent="0.3">
      <c r="A28" s="4">
        <f t="shared" si="2"/>
        <v>45795</v>
      </c>
      <c r="B28" t="s">
        <v>39</v>
      </c>
      <c r="D28" s="1">
        <v>6</v>
      </c>
      <c r="E28" s="5" t="str">
        <f>_xlfn.IFNA(VLOOKUP(B28,$B:$G,4,0),"")</f>
        <v>盒</v>
      </c>
      <c r="F28" s="6">
        <f>_xlfn.IFNA(VLOOKUP(B28,$B:$G,5,0),"")</f>
        <v>85</v>
      </c>
      <c r="G28" s="7">
        <f>IFERROR(總表[[#This Row],[數量]]*總表[[#This Row],[單價]],"")</f>
        <v>510</v>
      </c>
      <c r="H28" s="8" t="str">
        <f>IF(A28&lt;&gt;A27,SUMIF(A:A, A28, G:G),"")</f>
        <v/>
      </c>
    </row>
    <row r="29" spans="1:14" x14ac:dyDescent="0.3">
      <c r="A29" s="4">
        <f t="shared" si="2"/>
        <v>45795</v>
      </c>
      <c r="B29" t="s">
        <v>37</v>
      </c>
      <c r="D29" s="1">
        <v>1</v>
      </c>
      <c r="E29" s="5" t="s">
        <v>5</v>
      </c>
      <c r="F29" s="6">
        <v>85</v>
      </c>
      <c r="G29" s="7">
        <f>IFERROR(總表[[#This Row],[數量]]*總表[[#This Row],[單價]],"")</f>
        <v>85</v>
      </c>
      <c r="H29" s="8" t="str">
        <f>IF(A29&lt;&gt;A28,SUMIF(A:A, A29, G:G),"")</f>
        <v/>
      </c>
    </row>
    <row r="30" spans="1:14" x14ac:dyDescent="0.3">
      <c r="A30" s="4">
        <f t="shared" si="2"/>
        <v>45795</v>
      </c>
      <c r="B30" t="s">
        <v>48</v>
      </c>
      <c r="D30" s="1">
        <v>0.5</v>
      </c>
      <c r="E30" s="2" t="s">
        <v>5</v>
      </c>
      <c r="F30" s="9">
        <v>140</v>
      </c>
      <c r="G30" s="7">
        <f>IFERROR(總表[[#This Row],[數量]]*總表[[#This Row],[單價]],"")</f>
        <v>70</v>
      </c>
      <c r="H30" s="8" t="str">
        <f>IF(A30&lt;&gt;A29,SUMIF(A:A, A30, G:G),"")</f>
        <v/>
      </c>
    </row>
    <row r="31" spans="1:14" x14ac:dyDescent="0.3">
      <c r="A31" s="4">
        <f t="shared" si="2"/>
        <v>45795</v>
      </c>
      <c r="B31" t="s">
        <v>24</v>
      </c>
      <c r="D31" s="1">
        <v>2</v>
      </c>
      <c r="E31" s="2" t="s">
        <v>5</v>
      </c>
      <c r="F31" s="9">
        <v>155</v>
      </c>
      <c r="G31" s="7">
        <f>IFERROR(總表[[#This Row],[數量]]*總表[[#This Row],[單價]],"")</f>
        <v>310</v>
      </c>
      <c r="H31" s="8" t="str">
        <f>IF(A31&lt;&gt;A30,SUMIF(A:A, A31, G:G),"")</f>
        <v/>
      </c>
    </row>
    <row r="32" spans="1:14" x14ac:dyDescent="0.3">
      <c r="A32" s="4">
        <f>IF(B32="","",A29)</f>
        <v>45795</v>
      </c>
      <c r="B32" t="s">
        <v>41</v>
      </c>
      <c r="D32" s="1">
        <v>15</v>
      </c>
      <c r="E32" s="5" t="s">
        <v>5</v>
      </c>
      <c r="F32" s="6">
        <v>145</v>
      </c>
      <c r="G32" s="7">
        <f>IFERROR(總表[[#This Row],[數量]]*總表[[#This Row],[單價]],"")</f>
        <v>2175</v>
      </c>
      <c r="H32" s="8" t="str">
        <f>IF(A32&lt;&gt;A31,SUMIF(A:A, A32, G:G),"")</f>
        <v/>
      </c>
    </row>
    <row r="33" spans="1:8" x14ac:dyDescent="0.3">
      <c r="A33" s="4">
        <f t="shared" si="2"/>
        <v>45795</v>
      </c>
      <c r="B33" t="s">
        <v>22</v>
      </c>
      <c r="D33" s="1">
        <v>6</v>
      </c>
      <c r="E33" s="5" t="str">
        <f>_xlfn.IFNA(VLOOKUP(B33,$B:$G,4,0),"")</f>
        <v>台斤</v>
      </c>
      <c r="F33" s="6">
        <f>_xlfn.IFNA(VLOOKUP(B33,$B:$G,5,0),"")</f>
        <v>40</v>
      </c>
      <c r="G33" s="7">
        <f>IFERROR(總表[[#This Row],[數量]]*總表[[#This Row],[單價]],"")</f>
        <v>240</v>
      </c>
      <c r="H33" s="8" t="str">
        <f>IF(A33&lt;&gt;A32,SUMIF(A:A, A33, G:G),"")</f>
        <v/>
      </c>
    </row>
    <row r="34" spans="1:8" x14ac:dyDescent="0.3">
      <c r="A34" s="4">
        <f t="shared" si="2"/>
        <v>45795</v>
      </c>
      <c r="B34" t="s">
        <v>18</v>
      </c>
      <c r="D34" s="1">
        <v>0.89</v>
      </c>
      <c r="E34" s="5" t="str">
        <f>_xlfn.IFNA(VLOOKUP(B34,$B:$G,4,0),"")</f>
        <v>台斤</v>
      </c>
      <c r="F34" s="6">
        <f>_xlfn.IFNA(VLOOKUP(B34,$B:$G,5,0),"")</f>
        <v>125</v>
      </c>
      <c r="G34" s="7">
        <v>109</v>
      </c>
      <c r="H34" s="8" t="str">
        <f>IF(A34&lt;&gt;A33,SUMIF(A:A, A34, G:G),"")</f>
        <v/>
      </c>
    </row>
    <row r="35" spans="1:8" x14ac:dyDescent="0.3">
      <c r="A35" s="4">
        <f t="shared" si="2"/>
        <v>45795</v>
      </c>
      <c r="B35" t="s">
        <v>20</v>
      </c>
      <c r="D35" s="1">
        <v>1.1200000000000001</v>
      </c>
      <c r="E35" s="5" t="str">
        <f>_xlfn.IFNA(VLOOKUP(B35,$B:$G,4,0),"")</f>
        <v>台斤</v>
      </c>
      <c r="F35" s="6">
        <f>_xlfn.IFNA(VLOOKUP(B35,$B:$G,5,0),"")</f>
        <v>120</v>
      </c>
      <c r="G35" s="7">
        <v>135</v>
      </c>
      <c r="H35" s="8" t="str">
        <f>IF(A35&lt;&gt;A34,SUMIF(A:A, A35, G:G),"")</f>
        <v/>
      </c>
    </row>
    <row r="36" spans="1:8" x14ac:dyDescent="0.3">
      <c r="A36" s="4">
        <f t="shared" si="2"/>
        <v>45795</v>
      </c>
      <c r="B36" t="s">
        <v>16</v>
      </c>
      <c r="D36" s="1">
        <v>1</v>
      </c>
      <c r="E36" s="5" t="str">
        <f>_xlfn.IFNA(VLOOKUP(B36,$B:$G,4,0),"")</f>
        <v>台斤</v>
      </c>
      <c r="F36" s="6">
        <f>_xlfn.IFNA(VLOOKUP(B36,$B:$G,5,0),"")</f>
        <v>80</v>
      </c>
      <c r="G36" s="7">
        <f>IFERROR(總表[[#This Row],[數量]]*總表[[#This Row],[單價]],"")</f>
        <v>80</v>
      </c>
      <c r="H36" s="8" t="str">
        <f>IF(A36&lt;&gt;A35,SUMIF(A:A, A36, G:G),"")</f>
        <v/>
      </c>
    </row>
    <row r="37" spans="1:8" x14ac:dyDescent="0.3">
      <c r="A37" s="4">
        <v>45798</v>
      </c>
      <c r="B37" t="s">
        <v>26</v>
      </c>
      <c r="D37" s="1">
        <v>1</v>
      </c>
      <c r="E37" s="5" t="str">
        <f>_xlfn.IFNA(VLOOKUP(B37,$B:$G,4,0),"")</f>
        <v>包</v>
      </c>
      <c r="F37" s="6">
        <f>_xlfn.IFNA(VLOOKUP(B37,$B:$G,5,0),"")</f>
        <v>100</v>
      </c>
      <c r="G37" s="7">
        <f>IFERROR(總表[[#This Row],[數量]]*總表[[#This Row],[單價]],"")</f>
        <v>100</v>
      </c>
      <c r="H37" s="8">
        <f>IF(A37&lt;&gt;A36,SUMIF(A:A, A37, G:G),"")</f>
        <v>3411</v>
      </c>
    </row>
    <row r="38" spans="1:8" x14ac:dyDescent="0.3">
      <c r="A38" s="4">
        <f t="shared" si="2"/>
        <v>45798</v>
      </c>
      <c r="B38" t="s">
        <v>30</v>
      </c>
      <c r="D38" s="1">
        <v>4</v>
      </c>
      <c r="E38" s="5" t="str">
        <f>_xlfn.IFNA(VLOOKUP(B38,$B:$G,4,0),"")</f>
        <v>盒</v>
      </c>
      <c r="F38" s="6">
        <f>_xlfn.IFNA(VLOOKUP(B38,$B:$G,5,0),"")</f>
        <v>280</v>
      </c>
      <c r="G38" s="7">
        <f>IFERROR(總表[[#This Row],[數量]]*總表[[#This Row],[單價]],"")</f>
        <v>1120</v>
      </c>
      <c r="H38" s="8" t="str">
        <f>IF(A38&lt;&gt;A37,SUMIF(A:A, A38, G:G),"")</f>
        <v/>
      </c>
    </row>
    <row r="39" spans="1:8" x14ac:dyDescent="0.3">
      <c r="A39" s="4">
        <f t="shared" si="2"/>
        <v>45798</v>
      </c>
      <c r="B39" t="s">
        <v>43</v>
      </c>
      <c r="D39" s="1">
        <v>1</v>
      </c>
      <c r="E39" s="5" t="s">
        <v>7</v>
      </c>
      <c r="F39" s="6">
        <v>125</v>
      </c>
      <c r="G39" s="7">
        <f>IFERROR(總表[[#This Row],[數量]]*總表[[#This Row],[單價]],"")</f>
        <v>125</v>
      </c>
      <c r="H39" s="8" t="str">
        <f>IF(A39&lt;&gt;A38,SUMIF(A:A, A39, G:G),"")</f>
        <v/>
      </c>
    </row>
    <row r="40" spans="1:8" x14ac:dyDescent="0.3">
      <c r="A40" s="4">
        <f t="shared" si="2"/>
        <v>45798</v>
      </c>
      <c r="B40" t="s">
        <v>34</v>
      </c>
      <c r="D40" s="1">
        <v>2.25</v>
      </c>
      <c r="E40" s="5" t="str">
        <f>_xlfn.IFNA(VLOOKUP(B40,$B:$G,4,0),"")</f>
        <v>台斤</v>
      </c>
      <c r="F40" s="6">
        <f>_xlfn.IFNA(VLOOKUP(B40,$B:$G,5,0),"")</f>
        <v>100</v>
      </c>
      <c r="G40" s="7">
        <v>219</v>
      </c>
      <c r="H40" s="8" t="str">
        <f>IF(A40&lt;&gt;A39,SUMIF(A:A, A40, G:G),"")</f>
        <v/>
      </c>
    </row>
    <row r="41" spans="1:8" x14ac:dyDescent="0.3">
      <c r="A41" s="4">
        <f t="shared" si="2"/>
        <v>45798</v>
      </c>
      <c r="B41" t="s">
        <v>38</v>
      </c>
      <c r="D41" s="1">
        <v>6</v>
      </c>
      <c r="E41" s="5" t="str">
        <f>_xlfn.IFNA(VLOOKUP(B41,$B:$G,4,0),"")</f>
        <v>盒</v>
      </c>
      <c r="F41" s="6">
        <f>_xlfn.IFNA(VLOOKUP(B41,$B:$G,5,0),"")</f>
        <v>85</v>
      </c>
      <c r="G41" s="7">
        <f>IFERROR(總表[[#This Row],[數量]]*總表[[#This Row],[單價]],"")</f>
        <v>510</v>
      </c>
      <c r="H41" s="8" t="str">
        <f>IF(A41&lt;&gt;A40,SUMIF(A:A, A41, G:G),"")</f>
        <v/>
      </c>
    </row>
    <row r="42" spans="1:8" x14ac:dyDescent="0.3">
      <c r="A42" s="4">
        <f t="shared" si="2"/>
        <v>45798</v>
      </c>
      <c r="B42" t="s">
        <v>45</v>
      </c>
      <c r="D42" s="1">
        <v>0.02</v>
      </c>
      <c r="E42" s="5" t="s">
        <v>5</v>
      </c>
      <c r="F42" s="6">
        <v>300</v>
      </c>
      <c r="G42" s="7">
        <v>75</v>
      </c>
      <c r="H42" s="8" t="str">
        <f>IF(A42&lt;&gt;A41,SUMIF(A:A, A42, G:G),"")</f>
        <v/>
      </c>
    </row>
    <row r="43" spans="1:8" x14ac:dyDescent="0.3">
      <c r="A43" s="4">
        <f t="shared" si="2"/>
        <v>45798</v>
      </c>
      <c r="B43" t="s">
        <v>15</v>
      </c>
      <c r="D43" s="1">
        <v>0.15</v>
      </c>
      <c r="E43" s="5" t="str">
        <f>_xlfn.IFNA(VLOOKUP(B43,$B:$G,4,0),"")</f>
        <v>台斤</v>
      </c>
      <c r="F43" s="6">
        <f>_xlfn.IFNA(VLOOKUP(B43,$B:$G,5,0),"")</f>
        <v>100</v>
      </c>
      <c r="G43" s="7">
        <v>13</v>
      </c>
      <c r="H43" s="8" t="str">
        <f>IF(A43&lt;&gt;A42,SUMIF(A:A, A43, G:G),"")</f>
        <v/>
      </c>
    </row>
    <row r="44" spans="1:8" x14ac:dyDescent="0.3">
      <c r="A44" s="4">
        <f t="shared" si="2"/>
        <v>45798</v>
      </c>
      <c r="B44" t="s">
        <v>47</v>
      </c>
      <c r="D44" s="1">
        <v>10.5</v>
      </c>
      <c r="E44" s="5" t="s">
        <v>5</v>
      </c>
      <c r="F44" s="6">
        <v>40</v>
      </c>
      <c r="G44" s="7">
        <f>IFERROR(總表[[#This Row],[數量]]*總表[[#This Row],[單價]],"")</f>
        <v>420</v>
      </c>
      <c r="H44" s="8" t="str">
        <f>IF(A44&lt;&gt;A43,SUMIF(A:A, A44, G:G),"")</f>
        <v/>
      </c>
    </row>
    <row r="45" spans="1:8" x14ac:dyDescent="0.3">
      <c r="A45" s="4">
        <f t="shared" si="2"/>
        <v>45798</v>
      </c>
      <c r="B45" t="s">
        <v>18</v>
      </c>
      <c r="D45" s="1">
        <v>1.03</v>
      </c>
      <c r="E45" s="5" t="str">
        <f>_xlfn.IFNA(VLOOKUP(B45,$B:$G,4,0),"")</f>
        <v>台斤</v>
      </c>
      <c r="F45" s="6">
        <v>100</v>
      </c>
      <c r="G45" s="7">
        <v>131</v>
      </c>
      <c r="H45" s="8" t="str">
        <f>IF(A45&lt;&gt;A44,SUMIF(A:A, A45, G:G),"")</f>
        <v/>
      </c>
    </row>
    <row r="46" spans="1:8" x14ac:dyDescent="0.3">
      <c r="A46" s="4">
        <f t="shared" si="2"/>
        <v>45798</v>
      </c>
      <c r="B46" t="s">
        <v>20</v>
      </c>
      <c r="D46" s="1">
        <v>0.95</v>
      </c>
      <c r="E46" s="5" t="str">
        <f>_xlfn.IFNA(VLOOKUP(B46,$B:$G,4,0),"")</f>
        <v>台斤</v>
      </c>
      <c r="F46" s="6">
        <f>_xlfn.IFNA(VLOOKUP(B46,$B:$G,5,0),"")</f>
        <v>120</v>
      </c>
      <c r="G46" s="7">
        <v>113</v>
      </c>
      <c r="H46" s="8" t="str">
        <f>IF(A46&lt;&gt;A45,SUMIF(A:A, A46, G:G),"")</f>
        <v/>
      </c>
    </row>
    <row r="47" spans="1:8" x14ac:dyDescent="0.3">
      <c r="A47" s="4">
        <f t="shared" si="2"/>
        <v>45798</v>
      </c>
      <c r="B47" t="s">
        <v>28</v>
      </c>
      <c r="D47" s="1">
        <v>1</v>
      </c>
      <c r="E47" s="5" t="str">
        <f>_xlfn.IFNA(VLOOKUP(B47,$B:$G,4,0),"")</f>
        <v>台斤</v>
      </c>
      <c r="F47" s="6">
        <f>_xlfn.IFNA(VLOOKUP(B47,$B:$G,5,0),"")</f>
        <v>120</v>
      </c>
      <c r="G47" s="7">
        <f>IFERROR(總表[[#This Row],[數量]]*總表[[#This Row],[單價]],"")</f>
        <v>120</v>
      </c>
      <c r="H47" s="8" t="str">
        <f>IF(A47&lt;&gt;A46,SUMIF(A:A, A47, G:G),"")</f>
        <v/>
      </c>
    </row>
    <row r="48" spans="1:8" x14ac:dyDescent="0.3">
      <c r="A48" s="4">
        <f t="shared" si="2"/>
        <v>45798</v>
      </c>
      <c r="B48" t="s">
        <v>24</v>
      </c>
      <c r="D48" s="1">
        <v>2</v>
      </c>
      <c r="E48" s="5" t="str">
        <f>_xlfn.IFNA(VLOOKUP(B48,$B:$G,4,0),"")</f>
        <v>台斤</v>
      </c>
      <c r="F48" s="6">
        <f>_xlfn.IFNA(VLOOKUP(B48,$B:$G,5,0),"")</f>
        <v>155</v>
      </c>
      <c r="G48" s="7">
        <f>IFERROR(總表[[#This Row],[數量]]*總表[[#This Row],[單價]],"")</f>
        <v>310</v>
      </c>
      <c r="H48" s="8" t="str">
        <f>IF(A48&lt;&gt;A47,SUMIF(A:A, A48, G:G),"")</f>
        <v/>
      </c>
    </row>
    <row r="49" spans="1:8" x14ac:dyDescent="0.3">
      <c r="A49" s="4">
        <f t="shared" si="2"/>
        <v>45798</v>
      </c>
      <c r="B49" t="s">
        <v>36</v>
      </c>
      <c r="D49" s="1">
        <v>1</v>
      </c>
      <c r="E49" s="5" t="str">
        <f>_xlfn.IFNA(VLOOKUP(B49,$B:$G,4,0),"")</f>
        <v>台斤</v>
      </c>
      <c r="F49" s="6">
        <f>_xlfn.IFNA(VLOOKUP(B49,$B:$G,5,0),"")</f>
        <v>85</v>
      </c>
      <c r="G49" s="7">
        <f>IFERROR(總表[[#This Row],[數量]]*總表[[#This Row],[單價]],"")</f>
        <v>85</v>
      </c>
      <c r="H49" s="8" t="str">
        <f>IF(A49&lt;&gt;A48,SUMIF(A:A, A49, G:G),"")</f>
        <v/>
      </c>
    </row>
    <row r="50" spans="1:8" x14ac:dyDescent="0.3">
      <c r="A50" s="4">
        <f t="shared" si="2"/>
        <v>45798</v>
      </c>
      <c r="B50" t="s">
        <v>49</v>
      </c>
      <c r="D50" s="1">
        <v>0.5</v>
      </c>
      <c r="E50" s="5" t="str">
        <f>_xlfn.IFNA(VLOOKUP(B50,$B:$G,4,0),"")</f>
        <v>台斤</v>
      </c>
      <c r="F50" s="6">
        <f>_xlfn.IFNA(VLOOKUP(B50,$B:$G,5,0),"")</f>
        <v>140</v>
      </c>
      <c r="G50" s="7">
        <f>IFERROR(總表[[#This Row],[數量]]*總表[[#This Row],[單價]],"")</f>
        <v>70</v>
      </c>
      <c r="H50" s="8" t="str">
        <f>IF(A50&lt;&gt;A49,SUMIF(A:A, A50, G:G),"")</f>
        <v/>
      </c>
    </row>
    <row r="51" spans="1:8" x14ac:dyDescent="0.3">
      <c r="A51" s="4">
        <v>45800</v>
      </c>
      <c r="B51" t="s">
        <v>15</v>
      </c>
      <c r="D51" s="1">
        <v>0.19</v>
      </c>
      <c r="E51" s="5" t="str">
        <f>_xlfn.IFNA(VLOOKUP(B51,$B:$G,4,0),"")</f>
        <v>台斤</v>
      </c>
      <c r="F51" s="6">
        <f>_xlfn.IFNA(VLOOKUP(B51,$B:$G,5,0),"")</f>
        <v>100</v>
      </c>
      <c r="G51" s="7">
        <f>IFERROR(總表[[#This Row],[數量]]*總表[[#This Row],[單價]],"")</f>
        <v>19</v>
      </c>
      <c r="H51" s="8">
        <f>IF(A51&lt;&gt;A50,SUMIF(A:A, A51, G:G),"")</f>
        <v>2925</v>
      </c>
    </row>
    <row r="52" spans="1:8" x14ac:dyDescent="0.3">
      <c r="A52" s="4">
        <f t="shared" si="2"/>
        <v>45800</v>
      </c>
      <c r="B52" t="s">
        <v>44</v>
      </c>
      <c r="D52" s="1">
        <v>0.19</v>
      </c>
      <c r="E52" s="5" t="s">
        <v>5</v>
      </c>
      <c r="F52" s="6">
        <f>_xlfn.IFNA(VLOOKUP(B52,$B:$G,5,0),"")</f>
        <v>300</v>
      </c>
      <c r="G52" s="7">
        <v>56</v>
      </c>
      <c r="H52" s="8" t="str">
        <f>IF(A52&lt;&gt;A51,SUMIF(A:A, A52, G:G),"")</f>
        <v/>
      </c>
    </row>
    <row r="53" spans="1:8" x14ac:dyDescent="0.3">
      <c r="A53" s="4">
        <f t="shared" si="2"/>
        <v>45800</v>
      </c>
      <c r="B53" t="s">
        <v>51</v>
      </c>
      <c r="D53" s="1">
        <v>1.5</v>
      </c>
      <c r="E53" s="5" t="s">
        <v>5</v>
      </c>
      <c r="F53" s="6">
        <v>150</v>
      </c>
      <c r="G53" s="7">
        <f>IFERROR(總表[[#This Row],[數量]]*總表[[#This Row],[單價]],"")</f>
        <v>225</v>
      </c>
      <c r="H53" s="8" t="str">
        <f>IF(A53&lt;&gt;A52,SUMIF(A:A, A53, G:G),"")</f>
        <v/>
      </c>
    </row>
    <row r="54" spans="1:8" x14ac:dyDescent="0.3">
      <c r="A54" s="4">
        <f t="shared" si="2"/>
        <v>45800</v>
      </c>
      <c r="B54" t="s">
        <v>26</v>
      </c>
      <c r="D54" s="1">
        <v>2</v>
      </c>
      <c r="E54" s="5" t="str">
        <f>_xlfn.IFNA(VLOOKUP(B54,$B:$G,4,0),"")</f>
        <v>包</v>
      </c>
      <c r="F54" s="6">
        <f>_xlfn.IFNA(VLOOKUP(B54,$B:$G,5,0),"")</f>
        <v>100</v>
      </c>
      <c r="G54" s="7">
        <f>IFERROR(總表[[#This Row],[數量]]*總表[[#This Row],[單價]],"")</f>
        <v>200</v>
      </c>
      <c r="H54" s="8" t="str">
        <f>IF(A54&lt;&gt;A53,SUMIF(A:A, A54, G:G),"")</f>
        <v/>
      </c>
    </row>
    <row r="55" spans="1:8" x14ac:dyDescent="0.3">
      <c r="A55" s="4">
        <f t="shared" si="2"/>
        <v>45800</v>
      </c>
      <c r="B55" t="s">
        <v>38</v>
      </c>
      <c r="D55" s="1">
        <v>6</v>
      </c>
      <c r="E55" s="5" t="str">
        <f>_xlfn.IFNA(VLOOKUP(B55,$B:$G,4,0),"")</f>
        <v>盒</v>
      </c>
      <c r="F55" s="6">
        <f>_xlfn.IFNA(VLOOKUP(B55,$B:$G,5,0),"")</f>
        <v>85</v>
      </c>
      <c r="G55" s="7">
        <f>IFERROR(總表[[#This Row],[數量]]*總表[[#This Row],[單價]],"")</f>
        <v>510</v>
      </c>
      <c r="H55" s="8" t="str">
        <f>IF(A55&lt;&gt;A54,SUMIF(A:A, A55, G:G),"")</f>
        <v/>
      </c>
    </row>
    <row r="56" spans="1:8" x14ac:dyDescent="0.3">
      <c r="A56" s="4">
        <f t="shared" si="2"/>
        <v>45800</v>
      </c>
      <c r="B56" t="s">
        <v>53</v>
      </c>
      <c r="D56" s="1">
        <v>3</v>
      </c>
      <c r="E56" s="5" t="s">
        <v>6</v>
      </c>
      <c r="F56" s="6">
        <v>155</v>
      </c>
      <c r="G56" s="7">
        <f>IFERROR(總表[[#This Row],[數量]]*總表[[#This Row],[單價]],"")</f>
        <v>465</v>
      </c>
      <c r="H56" s="8" t="str">
        <f>IF(A56&lt;&gt;A55,SUMIF(A:A, A56, G:G),"")</f>
        <v/>
      </c>
    </row>
    <row r="57" spans="1:8" x14ac:dyDescent="0.3">
      <c r="A57" s="4">
        <f t="shared" si="2"/>
        <v>45800</v>
      </c>
      <c r="B57" t="s">
        <v>55</v>
      </c>
      <c r="D57" s="1">
        <v>1</v>
      </c>
      <c r="E57" s="5" t="s">
        <v>6</v>
      </c>
      <c r="F57" s="6">
        <v>150</v>
      </c>
      <c r="G57" s="7">
        <f>IFERROR(總表[[#This Row],[數量]]*總表[[#This Row],[單價]],"")</f>
        <v>150</v>
      </c>
      <c r="H57" s="8" t="str">
        <f>IF(A57&lt;&gt;A56,SUMIF(A:A, A57, G:G),"")</f>
        <v/>
      </c>
    </row>
    <row r="58" spans="1:8" x14ac:dyDescent="0.3">
      <c r="A58" s="4">
        <f t="shared" si="2"/>
        <v>45800</v>
      </c>
      <c r="B58" t="s">
        <v>57</v>
      </c>
      <c r="D58" s="1">
        <v>10</v>
      </c>
      <c r="E58" s="5" t="s">
        <v>5</v>
      </c>
      <c r="F58" s="6">
        <v>130</v>
      </c>
      <c r="G58" s="7">
        <f>IFERROR(總表[[#This Row],[數量]]*總表[[#This Row],[單價]],"")</f>
        <v>1300</v>
      </c>
      <c r="H58" s="8" t="str">
        <f>IF(A58&lt;&gt;A57,SUMIF(A:A, A58, G:G),"")</f>
        <v/>
      </c>
    </row>
    <row r="59" spans="1:8" x14ac:dyDescent="0.3">
      <c r="A59" s="4">
        <v>45801</v>
      </c>
      <c r="B59" t="s">
        <v>38</v>
      </c>
      <c r="D59" s="1">
        <v>6</v>
      </c>
      <c r="E59" s="5" t="str">
        <f>_xlfn.IFNA(VLOOKUP(B59,$B:$G,4,0),"")</f>
        <v>盒</v>
      </c>
      <c r="F59" s="6">
        <f>_xlfn.IFNA(VLOOKUP(B59,$B:$G,5,0),"")</f>
        <v>85</v>
      </c>
      <c r="G59" s="7">
        <f>IFERROR(總表[[#This Row],[數量]]*總表[[#This Row],[單價]],"")</f>
        <v>510</v>
      </c>
      <c r="H59" s="8">
        <f>IF(A59&lt;&gt;A58,SUMIF(A:A, A59, G:G),"")</f>
        <v>2391</v>
      </c>
    </row>
    <row r="60" spans="1:8" x14ac:dyDescent="0.3">
      <c r="A60" s="4">
        <f t="shared" si="2"/>
        <v>45801</v>
      </c>
      <c r="B60" t="s">
        <v>34</v>
      </c>
      <c r="D60" s="1">
        <v>2.8</v>
      </c>
      <c r="E60" s="5" t="str">
        <f>_xlfn.IFNA(VLOOKUP(B60,$B:$G,4,0),"")</f>
        <v>台斤</v>
      </c>
      <c r="F60" s="6">
        <v>110</v>
      </c>
      <c r="G60" s="7">
        <v>316</v>
      </c>
      <c r="H60" s="8" t="str">
        <f>IF(A60&lt;&gt;A59,SUMIF(A:A, A60, G:G),"")</f>
        <v/>
      </c>
    </row>
    <row r="61" spans="1:8" x14ac:dyDescent="0.3">
      <c r="A61" s="4">
        <f t="shared" si="2"/>
        <v>45801</v>
      </c>
      <c r="B61" t="s">
        <v>28</v>
      </c>
      <c r="D61" s="1">
        <v>1</v>
      </c>
      <c r="E61" s="5" t="str">
        <f>_xlfn.IFNA(VLOOKUP(B61,$B:$G,4,0),"")</f>
        <v>台斤</v>
      </c>
      <c r="F61" s="6">
        <f>_xlfn.IFNA(VLOOKUP(B61,$B:$G,5,0),"")</f>
        <v>120</v>
      </c>
      <c r="G61" s="7">
        <f>IFERROR(總表[[#This Row],[數量]]*總表[[#This Row],[單價]],"")</f>
        <v>120</v>
      </c>
      <c r="H61" s="8" t="str">
        <f>IF(A61&lt;&gt;A60,SUMIF(A:A, A61, G:G),"")</f>
        <v/>
      </c>
    </row>
    <row r="62" spans="1:8" x14ac:dyDescent="0.3">
      <c r="A62" s="4">
        <f t="shared" si="2"/>
        <v>45801</v>
      </c>
      <c r="B62" t="s">
        <v>18</v>
      </c>
      <c r="D62" s="1">
        <v>1.18</v>
      </c>
      <c r="E62" s="5" t="str">
        <f>_xlfn.IFNA(VLOOKUP(B62,$B:$G,4,0),"")</f>
        <v>台斤</v>
      </c>
      <c r="F62" s="6">
        <v>110</v>
      </c>
      <c r="G62" s="7">
        <v>131</v>
      </c>
      <c r="H62" s="8" t="str">
        <f>IF(A62&lt;&gt;A61,SUMIF(A:A, A62, G:G),"")</f>
        <v/>
      </c>
    </row>
    <row r="63" spans="1:8" x14ac:dyDescent="0.3">
      <c r="A63" s="4">
        <f t="shared" si="2"/>
        <v>45801</v>
      </c>
      <c r="B63" t="s">
        <v>20</v>
      </c>
      <c r="D63" s="1">
        <v>1.18</v>
      </c>
      <c r="E63" s="5" t="str">
        <f>_xlfn.IFNA(VLOOKUP(B63,$B:$G,4,0),"")</f>
        <v>台斤</v>
      </c>
      <c r="F63" s="6">
        <v>100</v>
      </c>
      <c r="G63" s="7">
        <v>119</v>
      </c>
      <c r="H63" s="8" t="str">
        <f>IF(A63&lt;&gt;A62,SUMIF(A:A, A63, G:G),"")</f>
        <v/>
      </c>
    </row>
    <row r="64" spans="1:8" x14ac:dyDescent="0.3">
      <c r="A64" s="4">
        <f t="shared" si="2"/>
        <v>45801</v>
      </c>
      <c r="B64" t="s">
        <v>30</v>
      </c>
      <c r="D64" s="1">
        <v>4</v>
      </c>
      <c r="E64" s="5" t="str">
        <f>_xlfn.IFNA(VLOOKUP(B64,$B:$G,4,0),"")</f>
        <v>盒</v>
      </c>
      <c r="F64" s="6">
        <f>_xlfn.IFNA(VLOOKUP(B64,$B:$G,5,0),"")</f>
        <v>280</v>
      </c>
      <c r="G64" s="7">
        <f>IFERROR(總表[[#This Row],[數量]]*總表[[#This Row],[單價]],"")</f>
        <v>1120</v>
      </c>
      <c r="H64" s="8" t="str">
        <f>IF(A64&lt;&gt;A63,SUMIF(A:A, A64, G:G),"")</f>
        <v/>
      </c>
    </row>
    <row r="65" spans="1:8" x14ac:dyDescent="0.3">
      <c r="A65" s="4">
        <f t="shared" si="2"/>
        <v>45801</v>
      </c>
      <c r="B65" t="s">
        <v>44</v>
      </c>
      <c r="D65" s="1">
        <v>0.25</v>
      </c>
      <c r="E65" s="5" t="str">
        <f>_xlfn.IFNA(VLOOKUP(B65,$B:$G,4,0),"")</f>
        <v>台斤</v>
      </c>
      <c r="F65" s="6">
        <v>300</v>
      </c>
      <c r="G65" s="7">
        <f>IFERROR(總表[[#This Row],[數量]]*總表[[#This Row],[單價]],"")</f>
        <v>75</v>
      </c>
      <c r="H65" s="8" t="str">
        <f>IF(A65&lt;&gt;A64,SUMIF(A:A, A65, G:G),"")</f>
        <v/>
      </c>
    </row>
    <row r="66" spans="1:8" x14ac:dyDescent="0.3">
      <c r="A66" s="4">
        <v>45802</v>
      </c>
      <c r="B66" t="s">
        <v>28</v>
      </c>
      <c r="D66" s="1">
        <v>1</v>
      </c>
      <c r="E66" s="5" t="str">
        <f>_xlfn.IFNA(VLOOKUP(B66,$B:$G,4,0),"")</f>
        <v>台斤</v>
      </c>
      <c r="F66" s="6">
        <f>_xlfn.IFNA(VLOOKUP(B66,$B:$G,5,0),"")</f>
        <v>120</v>
      </c>
      <c r="G66" s="7">
        <f>IFERROR(總表[[#This Row],[數量]]*總表[[#This Row],[單價]],"")</f>
        <v>120</v>
      </c>
      <c r="H66" s="8">
        <f>IF(A66&lt;&gt;A65,SUMIF(A:A, A66, G:G),"")</f>
        <v>5312.0949999999993</v>
      </c>
    </row>
    <row r="67" spans="1:8" x14ac:dyDescent="0.3">
      <c r="A67" s="4">
        <f t="shared" si="2"/>
        <v>45802</v>
      </c>
      <c r="B67" t="s">
        <v>64</v>
      </c>
      <c r="D67" s="1">
        <v>0.125</v>
      </c>
      <c r="E67" s="5" t="str">
        <f>_xlfn.IFNA(VLOOKUP(B67,$B:$G,4,0),"")</f>
        <v>台斤</v>
      </c>
      <c r="F67" s="6">
        <f>_xlfn.IFNA(VLOOKUP(B67,$B:$G,5,0),"")</f>
        <v>1100</v>
      </c>
      <c r="G67" s="7">
        <v>139</v>
      </c>
      <c r="H67" s="8" t="str">
        <f>IF(A67&lt;&gt;A66,SUMIF(A:A, A67, G:G),"")</f>
        <v/>
      </c>
    </row>
    <row r="68" spans="1:8" x14ac:dyDescent="0.3">
      <c r="A68" s="4">
        <f t="shared" si="2"/>
        <v>45802</v>
      </c>
      <c r="B68" t="s">
        <v>26</v>
      </c>
      <c r="D68" s="1">
        <v>1</v>
      </c>
      <c r="E68" s="5" t="str">
        <f>_xlfn.IFNA(VLOOKUP(B68,$B:$G,4,0),"")</f>
        <v>包</v>
      </c>
      <c r="F68" s="6">
        <f>_xlfn.IFNA(VLOOKUP(B68,$B:$G,5,0),"")</f>
        <v>100</v>
      </c>
      <c r="G68" s="7">
        <f>IFERROR(總表[[#This Row],[數量]]*總表[[#This Row],[單價]],"")</f>
        <v>100</v>
      </c>
      <c r="H68" s="8" t="str">
        <f>IF(A68&lt;&gt;A67,SUMIF(A:A, A68, G:G),"")</f>
        <v/>
      </c>
    </row>
    <row r="69" spans="1:8" x14ac:dyDescent="0.3">
      <c r="A69" s="4">
        <f t="shared" si="2"/>
        <v>45802</v>
      </c>
      <c r="B69" t="s">
        <v>15</v>
      </c>
      <c r="D69" s="1">
        <v>0.25</v>
      </c>
      <c r="E69" s="5" t="str">
        <f>_xlfn.IFNA(VLOOKUP(B69,$B:$G,4,0),"")</f>
        <v>台斤</v>
      </c>
      <c r="F69" s="6">
        <f>_xlfn.IFNA(VLOOKUP(B69,$B:$G,5,0),"")</f>
        <v>100</v>
      </c>
      <c r="G69" s="7">
        <f>IFERROR(總表[[#This Row],[數量]]*總表[[#This Row],[單價]],"")</f>
        <v>25</v>
      </c>
      <c r="H69" s="8" t="str">
        <f>IF(A69&lt;&gt;A68,SUMIF(A:A, A69, G:G),"")</f>
        <v/>
      </c>
    </row>
    <row r="70" spans="1:8" x14ac:dyDescent="0.3">
      <c r="A70" s="4">
        <f t="shared" si="2"/>
        <v>45802</v>
      </c>
      <c r="B70" t="s">
        <v>44</v>
      </c>
      <c r="D70" s="1">
        <v>0.185</v>
      </c>
      <c r="E70" s="5" t="str">
        <f>_xlfn.IFNA(VLOOKUP(B70,$B:$G,4,0),"")</f>
        <v>台斤</v>
      </c>
      <c r="F70" s="6">
        <f>_xlfn.IFNA(VLOOKUP(B70,$B:$G,5,0),"")</f>
        <v>300</v>
      </c>
      <c r="G70" s="7">
        <f>IFERROR(總表[[#This Row],[數量]]*總表[[#This Row],[單價]],"")</f>
        <v>55.5</v>
      </c>
      <c r="H70" s="8" t="str">
        <f>IF(A70&lt;&gt;A69,SUMIF(A:A, A70, G:G),"")</f>
        <v/>
      </c>
    </row>
    <row r="71" spans="1:8" x14ac:dyDescent="0.3">
      <c r="A71" s="4">
        <f t="shared" si="2"/>
        <v>45802</v>
      </c>
      <c r="B71" t="s">
        <v>32</v>
      </c>
      <c r="D71" s="1">
        <v>0.25</v>
      </c>
      <c r="E71" s="5" t="str">
        <f>_xlfn.IFNA(VLOOKUP(B71,$B:$G,4,0),"")</f>
        <v>台斤</v>
      </c>
      <c r="F71" s="6">
        <f>_xlfn.IFNA(VLOOKUP(B71,$B:$G,5,0),"")</f>
        <v>240</v>
      </c>
      <c r="G71" s="7">
        <f>IFERROR(總表[[#This Row],[數量]]*總表[[#This Row],[單價]],"")</f>
        <v>60</v>
      </c>
      <c r="H71" s="8" t="str">
        <f>IF(A71&lt;&gt;A70,SUMIF(A:A, A71, G:G),"")</f>
        <v/>
      </c>
    </row>
    <row r="72" spans="1:8" x14ac:dyDescent="0.3">
      <c r="A72" s="4">
        <f t="shared" si="2"/>
        <v>45802</v>
      </c>
      <c r="B72" t="s">
        <v>22</v>
      </c>
      <c r="D72" s="1">
        <v>4</v>
      </c>
      <c r="E72" s="5" t="str">
        <f>_xlfn.IFNA(VLOOKUP(B72,$B:$G,4,0),"")</f>
        <v>台斤</v>
      </c>
      <c r="F72" s="6">
        <f>_xlfn.IFNA(VLOOKUP(B72,$B:$G,5,0),"")</f>
        <v>40</v>
      </c>
      <c r="G72" s="7">
        <f>IFERROR(總表[[#This Row],[數量]]*總表[[#This Row],[單價]],"")</f>
        <v>160</v>
      </c>
      <c r="H72" s="8" t="str">
        <f>IF(A72&lt;&gt;A71,SUMIF(A:A, A72, G:G),"")</f>
        <v/>
      </c>
    </row>
    <row r="73" spans="1:8" x14ac:dyDescent="0.3">
      <c r="A73" s="4">
        <f t="shared" si="2"/>
        <v>45802</v>
      </c>
      <c r="B73" t="s">
        <v>38</v>
      </c>
      <c r="D73" s="1">
        <v>10</v>
      </c>
      <c r="E73" s="5" t="str">
        <f>_xlfn.IFNA(VLOOKUP(B73,$B:$G,4,0),"")</f>
        <v>盒</v>
      </c>
      <c r="F73" s="9">
        <v>85</v>
      </c>
      <c r="G73" s="7">
        <f>IFERROR(總表[[#This Row],[數量]]*總表[[#This Row],[單價]],"")</f>
        <v>850</v>
      </c>
      <c r="H73" s="8" t="str">
        <f>IF(A73&lt;&gt;A72,SUMIF(A:A, A73, G:G),"")</f>
        <v/>
      </c>
    </row>
    <row r="74" spans="1:8" x14ac:dyDescent="0.3">
      <c r="A74" s="4">
        <f t="shared" si="2"/>
        <v>45802</v>
      </c>
      <c r="B74" t="s">
        <v>42</v>
      </c>
      <c r="D74" s="1">
        <v>1</v>
      </c>
      <c r="E74" s="5" t="str">
        <f>_xlfn.IFNA(VLOOKUP(B74,$B:$G,4,0),"")</f>
        <v>盒</v>
      </c>
      <c r="F74" s="6">
        <f>_xlfn.IFNA(VLOOKUP(B74,$B:$G,5,0),"")</f>
        <v>125</v>
      </c>
      <c r="G74" s="7">
        <f>IFERROR(總表[[#This Row],[數量]]*總表[[#This Row],[單價]],"")</f>
        <v>125</v>
      </c>
      <c r="H74" s="8" t="str">
        <f>IF(A74&lt;&gt;A73,SUMIF(A:A, A74, G:G),"")</f>
        <v/>
      </c>
    </row>
    <row r="75" spans="1:8" x14ac:dyDescent="0.3">
      <c r="A75" s="4">
        <f t="shared" si="2"/>
        <v>45802</v>
      </c>
      <c r="B75" t="s">
        <v>16</v>
      </c>
      <c r="D75" s="1">
        <v>1</v>
      </c>
      <c r="E75" s="5" t="str">
        <f>_xlfn.IFNA(VLOOKUP(B75,$B:$G,4,0),"")</f>
        <v>台斤</v>
      </c>
      <c r="F75" s="6">
        <f>_xlfn.IFNA(VLOOKUP(B75,$B:$G,5,0),"")</f>
        <v>80</v>
      </c>
      <c r="G75" s="7">
        <f>IFERROR(總表[[#This Row],[數量]]*總表[[#This Row],[單價]],"")</f>
        <v>80</v>
      </c>
      <c r="H75" s="8" t="str">
        <f>IF(A75&lt;&gt;A74,SUMIF(A:A, A75, G:G),"")</f>
        <v/>
      </c>
    </row>
    <row r="76" spans="1:8" x14ac:dyDescent="0.3">
      <c r="A76" s="4">
        <f t="shared" si="2"/>
        <v>45802</v>
      </c>
      <c r="B76" t="s">
        <v>48</v>
      </c>
      <c r="D76" s="1">
        <v>0.5</v>
      </c>
      <c r="E76" s="5" t="str">
        <f>_xlfn.IFNA(VLOOKUP(B76,$B:$G,4,0),"")</f>
        <v>台斤</v>
      </c>
      <c r="F76" s="6">
        <f>_xlfn.IFNA(VLOOKUP(B76,$B:$G,5,0),"")</f>
        <v>140</v>
      </c>
      <c r="G76" s="7">
        <f>IFERROR(總表[[#This Row],[數量]]*總表[[#This Row],[單價]],"")</f>
        <v>70</v>
      </c>
      <c r="H76" s="8" t="str">
        <f>IF(A76&lt;&gt;A75,SUMIF(A:A, A76, G:G),"")</f>
        <v/>
      </c>
    </row>
    <row r="77" spans="1:8" x14ac:dyDescent="0.3">
      <c r="A77" s="4">
        <f t="shared" si="2"/>
        <v>45802</v>
      </c>
      <c r="B77" t="s">
        <v>36</v>
      </c>
      <c r="D77" s="1">
        <v>1</v>
      </c>
      <c r="E77" s="5" t="str">
        <f>_xlfn.IFNA(VLOOKUP(B77,$B:$G,4,0),"")</f>
        <v>台斤</v>
      </c>
      <c r="F77" s="6">
        <f>_xlfn.IFNA(VLOOKUP(B77,$B:$G,5,0),"")</f>
        <v>85</v>
      </c>
      <c r="G77" s="7">
        <f>IFERROR(總表[[#This Row],[數量]]*總表[[#This Row],[單價]],"")</f>
        <v>85</v>
      </c>
      <c r="H77" s="8" t="str">
        <f>IF(A77&lt;&gt;A76,SUMIF(A:A, A77, G:G),"")</f>
        <v/>
      </c>
    </row>
    <row r="78" spans="1:8" x14ac:dyDescent="0.3">
      <c r="A78" s="4">
        <f t="shared" si="2"/>
        <v>45802</v>
      </c>
      <c r="B78" t="s">
        <v>59</v>
      </c>
      <c r="D78" s="1">
        <v>4</v>
      </c>
      <c r="E78" s="5" t="s">
        <v>7</v>
      </c>
      <c r="F78" s="6">
        <v>80</v>
      </c>
      <c r="G78" s="7">
        <f>IFERROR(總表[[#This Row],[數量]]*總表[[#This Row],[單價]],"")</f>
        <v>320</v>
      </c>
      <c r="H78" s="8" t="str">
        <f>IF(A78&lt;&gt;A77,SUMIF(A:A, A78, G:G),"")</f>
        <v/>
      </c>
    </row>
    <row r="79" spans="1:8" x14ac:dyDescent="0.3">
      <c r="A79" s="4">
        <f t="shared" si="2"/>
        <v>45802</v>
      </c>
      <c r="B79" t="s">
        <v>24</v>
      </c>
      <c r="D79" s="1">
        <v>2</v>
      </c>
      <c r="E79" s="5" t="str">
        <f>_xlfn.IFNA(VLOOKUP(B79,$B:$G,4,0),"")</f>
        <v>台斤</v>
      </c>
      <c r="F79" s="6">
        <f>_xlfn.IFNA(VLOOKUP(B79,$B:$G,5,0),"")</f>
        <v>155</v>
      </c>
      <c r="G79" s="7">
        <f>IFERROR(總表[[#This Row],[數量]]*總表[[#This Row],[單價]],"")</f>
        <v>310</v>
      </c>
      <c r="H79" s="8" t="str">
        <f>IF(A79&lt;&gt;A78,SUMIF(A:A, A79, G:G),"")</f>
        <v/>
      </c>
    </row>
    <row r="80" spans="1:8" x14ac:dyDescent="0.3">
      <c r="A80" s="4">
        <f t="shared" si="2"/>
        <v>45802</v>
      </c>
      <c r="B80" t="s">
        <v>52</v>
      </c>
      <c r="D80" s="1">
        <v>2</v>
      </c>
      <c r="E80" s="5" t="str">
        <f>_xlfn.IFNA(VLOOKUP(B80,$B:$G,4,0),"")</f>
        <v>包</v>
      </c>
      <c r="F80" s="6">
        <f>_xlfn.IFNA(VLOOKUP(B80,$B:$G,5,0),"")</f>
        <v>155</v>
      </c>
      <c r="G80" s="7">
        <f>IFERROR(總表[[#This Row],[數量]]*總表[[#This Row],[單價]],"")</f>
        <v>310</v>
      </c>
      <c r="H80" s="8" t="str">
        <f>IF(A80&lt;&gt;A79,SUMIF(A:A, A80, G:G),"")</f>
        <v/>
      </c>
    </row>
    <row r="81" spans="1:8" x14ac:dyDescent="0.3">
      <c r="A81" s="4">
        <f t="shared" si="2"/>
        <v>45802</v>
      </c>
      <c r="B81" t="s">
        <v>40</v>
      </c>
      <c r="D81" s="1">
        <v>15.811</v>
      </c>
      <c r="E81" s="5" t="str">
        <f>_xlfn.IFNA(VLOOKUP(B81,$B:$G,4,0),"")</f>
        <v>台斤</v>
      </c>
      <c r="F81" s="6">
        <f>_xlfn.IFNA(VLOOKUP(B81,$B:$G,5,0),"")</f>
        <v>145</v>
      </c>
      <c r="G81" s="7">
        <f>IFERROR(總表[[#This Row],[數量]]*總表[[#This Row],[單價]],"")</f>
        <v>2292.5949999999998</v>
      </c>
      <c r="H81" s="8" t="str">
        <f>IF(A81&lt;&gt;A80,SUMIF(A:A, A81, G:G),"")</f>
        <v/>
      </c>
    </row>
    <row r="82" spans="1:8" x14ac:dyDescent="0.3">
      <c r="A82" s="4">
        <f t="shared" si="2"/>
        <v>45802</v>
      </c>
      <c r="B82" t="s">
        <v>18</v>
      </c>
      <c r="D82" s="1">
        <v>1</v>
      </c>
      <c r="E82" s="5" t="str">
        <f>_xlfn.IFNA(VLOOKUP(B82,$B:$G,4,0),"")</f>
        <v>台斤</v>
      </c>
      <c r="F82" s="6">
        <v>110</v>
      </c>
      <c r="G82" s="7">
        <f>IFERROR(總表[[#This Row],[數量]]*總表[[#This Row],[單價]],"")</f>
        <v>110</v>
      </c>
      <c r="H82" s="8" t="str">
        <f>IF(A82&lt;&gt;A81,SUMIF(A:A, A82, G:G),"")</f>
        <v/>
      </c>
    </row>
    <row r="83" spans="1:8" x14ac:dyDescent="0.3">
      <c r="A83" s="4">
        <f t="shared" si="2"/>
        <v>45802</v>
      </c>
      <c r="B83" t="s">
        <v>20</v>
      </c>
      <c r="D83" s="1">
        <v>1</v>
      </c>
      <c r="E83" s="5" t="str">
        <f>_xlfn.IFNA(VLOOKUP(B83,$B:$G,4,0),"")</f>
        <v>台斤</v>
      </c>
      <c r="F83" s="6">
        <v>100</v>
      </c>
      <c r="G83" s="7">
        <f>IFERROR(總表[[#This Row],[數量]]*總表[[#This Row],[單價]],"")</f>
        <v>100</v>
      </c>
      <c r="H83" s="8" t="str">
        <f>IF(A83&lt;&gt;A82,SUMIF(A:A, A83, G:G),"")</f>
        <v/>
      </c>
    </row>
    <row r="84" spans="1:8" x14ac:dyDescent="0.3">
      <c r="A84" s="4">
        <v>45804</v>
      </c>
      <c r="B84" t="s">
        <v>30</v>
      </c>
      <c r="D84" s="1">
        <v>4</v>
      </c>
      <c r="E84" s="5" t="str">
        <f>_xlfn.IFNA(VLOOKUP(B84,$B:$G,4,0),"")</f>
        <v>盒</v>
      </c>
      <c r="F84" s="6">
        <f>_xlfn.IFNA(VLOOKUP(B84,$B:$G,5,0),"")</f>
        <v>280</v>
      </c>
      <c r="G84" s="7">
        <f>IFERROR(總表[[#This Row],[數量]]*總表[[#This Row],[單價]],"")</f>
        <v>1120</v>
      </c>
      <c r="H84" s="8">
        <f>IF(A84&lt;&gt;A83,SUMIF(A:A, A84, G:G),"")</f>
        <v>1859</v>
      </c>
    </row>
    <row r="85" spans="1:8" x14ac:dyDescent="0.3">
      <c r="A85" s="4">
        <f t="shared" si="2"/>
        <v>45804</v>
      </c>
      <c r="B85" t="s">
        <v>44</v>
      </c>
      <c r="D85" s="1">
        <v>0.25</v>
      </c>
      <c r="E85" s="5" t="str">
        <f>_xlfn.IFNA(VLOOKUP(B85,$B:$G,4,0),"")</f>
        <v>台斤</v>
      </c>
      <c r="F85" s="6">
        <f>_xlfn.IFNA(VLOOKUP(B85,$B:$G,5,0),"")</f>
        <v>300</v>
      </c>
      <c r="G85" s="7">
        <f>IFERROR(總表[[#This Row],[數量]]*總表[[#This Row],[單價]],"")</f>
        <v>75</v>
      </c>
      <c r="H85" s="8" t="str">
        <f>IF(A85&lt;&gt;A84,SUMIF(A:A, A85, G:G),"")</f>
        <v/>
      </c>
    </row>
    <row r="86" spans="1:8" x14ac:dyDescent="0.3">
      <c r="A86" s="4">
        <f t="shared" si="2"/>
        <v>45804</v>
      </c>
      <c r="B86" t="s">
        <v>24</v>
      </c>
      <c r="D86" s="1">
        <v>2</v>
      </c>
      <c r="E86" s="5" t="str">
        <f>_xlfn.IFNA(VLOOKUP(B86,$B:$G,4,0),"")</f>
        <v>台斤</v>
      </c>
      <c r="F86" s="6">
        <f>_xlfn.IFNA(VLOOKUP(B86,$B:$G,5,0),"")</f>
        <v>155</v>
      </c>
      <c r="G86" s="7">
        <f>IFERROR(總表[[#This Row],[數量]]*總表[[#This Row],[單價]],"")</f>
        <v>310</v>
      </c>
      <c r="H86" s="8" t="str">
        <f>IF(A86&lt;&gt;A85,SUMIF(A:A, A86, G:G),"")</f>
        <v/>
      </c>
    </row>
    <row r="87" spans="1:8" x14ac:dyDescent="0.3">
      <c r="A87" s="4">
        <f t="shared" si="2"/>
        <v>45804</v>
      </c>
      <c r="B87" t="s">
        <v>28</v>
      </c>
      <c r="D87" s="1">
        <v>1</v>
      </c>
      <c r="E87" s="5" t="str">
        <f>_xlfn.IFNA(VLOOKUP(B87,$B:$G,4,0),"")</f>
        <v>台斤</v>
      </c>
      <c r="F87" s="6">
        <f>_xlfn.IFNA(VLOOKUP(B87,$B:$G,5,0),"")</f>
        <v>120</v>
      </c>
      <c r="G87" s="7">
        <f>IFERROR(總表[[#This Row],[數量]]*總表[[#This Row],[單價]],"")</f>
        <v>120</v>
      </c>
      <c r="H87" s="8" t="str">
        <f>IF(A87&lt;&gt;A86,SUMIF(A:A, A87, G:G),"")</f>
        <v/>
      </c>
    </row>
    <row r="88" spans="1:8" x14ac:dyDescent="0.3">
      <c r="A88" s="4">
        <f t="shared" si="2"/>
        <v>45804</v>
      </c>
      <c r="B88" t="s">
        <v>34</v>
      </c>
      <c r="D88" s="1">
        <v>2.35</v>
      </c>
      <c r="E88" s="5" t="str">
        <f>_xlfn.IFNA(VLOOKUP(B88,$B:$G,4,0),"")</f>
        <v>台斤</v>
      </c>
      <c r="F88" s="6">
        <f>_xlfn.IFNA(VLOOKUP(B88,$B:$G,5,0),"")</f>
        <v>100</v>
      </c>
      <c r="G88" s="7">
        <v>234</v>
      </c>
      <c r="H88" s="8" t="str">
        <f>IF(A88&lt;&gt;A87,SUMIF(A:A, A88, G:G),"")</f>
        <v/>
      </c>
    </row>
    <row r="89" spans="1:8" x14ac:dyDescent="0.3">
      <c r="A89" s="4">
        <v>45805</v>
      </c>
      <c r="B89" t="s">
        <v>15</v>
      </c>
      <c r="D89" s="1">
        <v>0.25</v>
      </c>
      <c r="E89" s="5" t="str">
        <f>_xlfn.IFNA(VLOOKUP(B89,$B:$G,4,0),"")</f>
        <v>台斤</v>
      </c>
      <c r="F89" s="6">
        <f>_xlfn.IFNA(VLOOKUP(B89,$B:$G,5,0),"")</f>
        <v>100</v>
      </c>
      <c r="G89" s="7">
        <f>IFERROR(總表[[#This Row],[數量]]*總表[[#This Row],[單價]],"")</f>
        <v>25</v>
      </c>
      <c r="H89" s="8">
        <f>IF(A89&lt;&gt;A88,SUMIF(A:A, A89, G:G),"")</f>
        <v>1900</v>
      </c>
    </row>
    <row r="90" spans="1:8" x14ac:dyDescent="0.3">
      <c r="A90" s="4">
        <f t="shared" si="2"/>
        <v>45805</v>
      </c>
      <c r="B90" t="s">
        <v>36</v>
      </c>
      <c r="D90" s="1">
        <v>1</v>
      </c>
      <c r="E90" s="5" t="str">
        <f>_xlfn.IFNA(VLOOKUP(B90,$B:$G,4,0),"")</f>
        <v>台斤</v>
      </c>
      <c r="F90" s="6">
        <f>_xlfn.IFNA(VLOOKUP(B90,$B:$G,5,0),"")</f>
        <v>85</v>
      </c>
      <c r="G90" s="7">
        <f>IFERROR(總表[[#This Row],[數量]]*總表[[#This Row],[單價]],"")</f>
        <v>85</v>
      </c>
      <c r="H90" s="8" t="str">
        <f>IF(A90&lt;&gt;A89,SUMIF(A:A, A90, G:G),"")</f>
        <v/>
      </c>
    </row>
    <row r="91" spans="1:8" x14ac:dyDescent="0.3">
      <c r="A91" s="4">
        <f t="shared" si="2"/>
        <v>45805</v>
      </c>
      <c r="B91" t="s">
        <v>48</v>
      </c>
      <c r="D91" s="1">
        <v>0.5</v>
      </c>
      <c r="E91" s="5" t="str">
        <f>_xlfn.IFNA(VLOOKUP(B91,$B:$G,4,0),"")</f>
        <v>台斤</v>
      </c>
      <c r="F91" s="6">
        <v>140</v>
      </c>
      <c r="G91" s="7">
        <f>IFERROR(總表[[#This Row],[數量]]*總表[[#This Row],[單價]],"")</f>
        <v>70</v>
      </c>
      <c r="H91" s="8" t="str">
        <f>IF(A91&lt;&gt;A90,SUMIF(A:A, A91, G:G),"")</f>
        <v/>
      </c>
    </row>
    <row r="92" spans="1:8" x14ac:dyDescent="0.3">
      <c r="A92" s="4">
        <f t="shared" si="2"/>
        <v>45805</v>
      </c>
      <c r="B92" t="s">
        <v>18</v>
      </c>
      <c r="D92" s="1">
        <v>2</v>
      </c>
      <c r="E92" s="5" t="str">
        <f>_xlfn.IFNA(VLOOKUP(B92,$B:$G,4,0),"")</f>
        <v>台斤</v>
      </c>
      <c r="F92" s="6">
        <v>110</v>
      </c>
      <c r="G92" s="7">
        <f>IFERROR(總表[[#This Row],[數量]]*總表[[#This Row],[單價]],"")</f>
        <v>220</v>
      </c>
      <c r="H92" s="8" t="str">
        <f>IF(A92&lt;&gt;A91,SUMIF(A:A, A92, G:G),"")</f>
        <v/>
      </c>
    </row>
    <row r="93" spans="1:8" x14ac:dyDescent="0.3">
      <c r="A93" s="4">
        <f t="shared" ref="A93:A157" si="3">IF(B93="","",A92)</f>
        <v>45805</v>
      </c>
      <c r="B93" t="s">
        <v>20</v>
      </c>
      <c r="D93" s="1">
        <v>2</v>
      </c>
      <c r="E93" s="5" t="str">
        <f>_xlfn.IFNA(VLOOKUP(B93,$B:$G,4,0),"")</f>
        <v>台斤</v>
      </c>
      <c r="F93" s="6">
        <v>100</v>
      </c>
      <c r="G93" s="7">
        <f>IFERROR(總表[[#This Row],[數量]]*總表[[#This Row],[單價]],"")</f>
        <v>200</v>
      </c>
      <c r="H93" s="8" t="str">
        <f>IF(A93&lt;&gt;A92,SUMIF(A:A, A93, G:G),"")</f>
        <v/>
      </c>
    </row>
    <row r="94" spans="1:8" x14ac:dyDescent="0.3">
      <c r="A94" s="4">
        <f t="shared" si="3"/>
        <v>45805</v>
      </c>
      <c r="B94" t="s">
        <v>56</v>
      </c>
      <c r="D94" s="1">
        <v>10</v>
      </c>
      <c r="E94" s="5" t="str">
        <f>_xlfn.IFNA(VLOOKUP(B94,$B:$G,4,0),"")</f>
        <v>台斤</v>
      </c>
      <c r="F94" s="6">
        <f>_xlfn.IFNA(VLOOKUP(B94,$B:$G,5,0),"")</f>
        <v>130</v>
      </c>
      <c r="G94" s="7">
        <f>IFERROR(總表[[#This Row],[數量]]*總表[[#This Row],[單價]],"")</f>
        <v>1300</v>
      </c>
      <c r="H94" s="8" t="str">
        <f>IF(A94&lt;&gt;A93,SUMIF(A:A, A94, G:G),"")</f>
        <v/>
      </c>
    </row>
    <row r="95" spans="1:8" x14ac:dyDescent="0.3">
      <c r="A95" s="4">
        <v>45807</v>
      </c>
      <c r="B95" t="s">
        <v>36</v>
      </c>
      <c r="D95" s="1">
        <v>1</v>
      </c>
      <c r="E95" s="5" t="str">
        <f>_xlfn.IFNA(VLOOKUP(B95,$B:$G,4,0),"")</f>
        <v>台斤</v>
      </c>
      <c r="F95" s="6">
        <f>_xlfn.IFNA(VLOOKUP(B95,$B:$G,5,0),"")</f>
        <v>85</v>
      </c>
      <c r="G95" s="7">
        <f>IFERROR(總表[[#This Row],[數量]]*總表[[#This Row],[單價]],"")</f>
        <v>85</v>
      </c>
      <c r="H95" s="8">
        <f>IF(A95&lt;&gt;A94,SUMIF(A:A, A95, G:G),"")</f>
        <v>7158</v>
      </c>
    </row>
    <row r="96" spans="1:8" x14ac:dyDescent="0.3">
      <c r="A96" s="4">
        <f t="shared" si="3"/>
        <v>45807</v>
      </c>
      <c r="B96" t="s">
        <v>48</v>
      </c>
      <c r="D96" s="1">
        <v>0.5</v>
      </c>
      <c r="E96" s="5" t="str">
        <f>_xlfn.IFNA(VLOOKUP(B96,$B:$G,4,0),"")</f>
        <v>台斤</v>
      </c>
      <c r="F96" s="6">
        <f>_xlfn.IFNA(VLOOKUP(B96,$B:$G,5,0),"")</f>
        <v>140</v>
      </c>
      <c r="G96" s="7">
        <f>IFERROR(總表[[#This Row],[數量]]*總表[[#This Row],[單價]],"")</f>
        <v>70</v>
      </c>
      <c r="H96" s="8" t="str">
        <f>IF(A96&lt;&gt;A95,SUMIF(A:A, A96, G:G),"")</f>
        <v/>
      </c>
    </row>
    <row r="97" spans="1:8" x14ac:dyDescent="0.3">
      <c r="A97" s="4">
        <f t="shared" si="3"/>
        <v>45807</v>
      </c>
      <c r="B97" t="s">
        <v>28</v>
      </c>
      <c r="D97" s="1">
        <v>1</v>
      </c>
      <c r="E97" s="5" t="str">
        <f>_xlfn.IFNA(VLOOKUP(B97,$B:$G,4,0),"")</f>
        <v>台斤</v>
      </c>
      <c r="F97" s="6">
        <f>_xlfn.IFNA(VLOOKUP(B97,$B:$G,5,0),"")</f>
        <v>120</v>
      </c>
      <c r="G97" s="7">
        <f>IFERROR(總表[[#This Row],[數量]]*總表[[#This Row],[單價]],"")</f>
        <v>120</v>
      </c>
      <c r="H97" s="8" t="str">
        <f>IF(A97&lt;&gt;A96,SUMIF(A:A, A97, G:G),"")</f>
        <v/>
      </c>
    </row>
    <row r="98" spans="1:8" x14ac:dyDescent="0.3">
      <c r="A98" s="4">
        <f t="shared" si="3"/>
        <v>45807</v>
      </c>
      <c r="B98" t="s">
        <v>15</v>
      </c>
      <c r="D98" s="1">
        <v>0.25</v>
      </c>
      <c r="E98" s="5" t="str">
        <f>_xlfn.IFNA(VLOOKUP(B98,$B:$G,4,0),"")</f>
        <v>台斤</v>
      </c>
      <c r="F98" s="6">
        <f>_xlfn.IFNA(VLOOKUP(B98,$B:$G,5,0),"")</f>
        <v>100</v>
      </c>
      <c r="G98" s="7">
        <f>IFERROR(總表[[#This Row],[數量]]*總表[[#This Row],[單價]],"")</f>
        <v>25</v>
      </c>
      <c r="H98" s="8" t="str">
        <f>IF(A98&lt;&gt;A97,SUMIF(A:A, A98, G:G),"")</f>
        <v/>
      </c>
    </row>
    <row r="99" spans="1:8" x14ac:dyDescent="0.3">
      <c r="A99" s="4">
        <f t="shared" si="3"/>
        <v>45807</v>
      </c>
      <c r="B99" t="s">
        <v>26</v>
      </c>
      <c r="D99" s="1">
        <v>1</v>
      </c>
      <c r="E99" s="5" t="str">
        <f>_xlfn.IFNA(VLOOKUP(B99,$B:$G,4,0),"")</f>
        <v>包</v>
      </c>
      <c r="F99" s="6">
        <f>_xlfn.IFNA(VLOOKUP(B99,$B:$G,5,0),"")</f>
        <v>100</v>
      </c>
      <c r="G99" s="7">
        <f>IFERROR(總表[[#This Row],[數量]]*總表[[#This Row],[單價]],"")</f>
        <v>100</v>
      </c>
      <c r="H99" s="8" t="str">
        <f>IF(A99&lt;&gt;A98,SUMIF(A:A, A99, G:G),"")</f>
        <v/>
      </c>
    </row>
    <row r="100" spans="1:8" x14ac:dyDescent="0.3">
      <c r="A100" s="4">
        <f t="shared" si="3"/>
        <v>45807</v>
      </c>
      <c r="B100" t="s">
        <v>16</v>
      </c>
      <c r="D100" s="1">
        <v>1</v>
      </c>
      <c r="E100" s="5" t="str">
        <f>_xlfn.IFNA(VLOOKUP(B100,$B:$G,4,0),"")</f>
        <v>台斤</v>
      </c>
      <c r="F100" s="6">
        <f>_xlfn.IFNA(VLOOKUP(B100,$B:$G,5,0),"")</f>
        <v>80</v>
      </c>
      <c r="G100" s="7">
        <f>IFERROR(總表[[#This Row],[數量]]*總表[[#This Row],[單價]],"")</f>
        <v>80</v>
      </c>
      <c r="H100" s="8" t="str">
        <f>IF(A100&lt;&gt;A99,SUMIF(A:A, A100, G:G),"")</f>
        <v/>
      </c>
    </row>
    <row r="101" spans="1:8" x14ac:dyDescent="0.3">
      <c r="A101" s="4">
        <f t="shared" si="3"/>
        <v>45807</v>
      </c>
      <c r="B101" t="s">
        <v>38</v>
      </c>
      <c r="D101" s="1">
        <v>6</v>
      </c>
      <c r="E101" s="5" t="str">
        <f>_xlfn.IFNA(VLOOKUP(B101,$B:$G,4,0),"")</f>
        <v>盒</v>
      </c>
      <c r="F101" s="6">
        <f>_xlfn.IFNA(VLOOKUP(B101,$B:$G,5,0),"")</f>
        <v>85</v>
      </c>
      <c r="G101" s="7">
        <f>IFERROR(總表[[#This Row],[數量]]*總表[[#This Row],[單價]],"")</f>
        <v>510</v>
      </c>
      <c r="H101" s="8" t="str">
        <f>IF(A101&lt;&gt;A100,SUMIF(A:A, A101, G:G),"")</f>
        <v/>
      </c>
    </row>
    <row r="102" spans="1:8" x14ac:dyDescent="0.3">
      <c r="A102" s="4">
        <f t="shared" si="3"/>
        <v>45807</v>
      </c>
      <c r="B102" t="s">
        <v>40</v>
      </c>
      <c r="D102" s="1">
        <v>15</v>
      </c>
      <c r="E102" s="5" t="str">
        <f>_xlfn.IFNA(VLOOKUP(B102,$B:$G,4,0),"")</f>
        <v>台斤</v>
      </c>
      <c r="F102" s="6">
        <f>_xlfn.IFNA(VLOOKUP(B102,$B:$G,5,0),"")</f>
        <v>145</v>
      </c>
      <c r="G102" s="7">
        <f>IFERROR(總表[[#This Row],[數量]]*總表[[#This Row],[單價]],"")</f>
        <v>2175</v>
      </c>
      <c r="H102" s="8" t="str">
        <f>IF(A102&lt;&gt;A101,SUMIF(A:A, A102, G:G),"")</f>
        <v/>
      </c>
    </row>
    <row r="103" spans="1:8" x14ac:dyDescent="0.3">
      <c r="A103" s="4">
        <f t="shared" si="3"/>
        <v>45807</v>
      </c>
      <c r="B103" t="s">
        <v>24</v>
      </c>
      <c r="D103" s="1">
        <v>2</v>
      </c>
      <c r="E103" s="5" t="str">
        <f>_xlfn.IFNA(VLOOKUP(B103,$B:$G,4,0),"")</f>
        <v>台斤</v>
      </c>
      <c r="F103" s="6">
        <f>_xlfn.IFNA(VLOOKUP(B103,$B:$G,5,0),"")</f>
        <v>155</v>
      </c>
      <c r="G103" s="7">
        <f>IFERROR(總表[[#This Row],[數量]]*總表[[#This Row],[單價]],"")</f>
        <v>310</v>
      </c>
      <c r="H103" s="8" t="str">
        <f>IF(A103&lt;&gt;A102,SUMIF(A:A, A103, G:G),"")</f>
        <v/>
      </c>
    </row>
    <row r="104" spans="1:8" x14ac:dyDescent="0.3">
      <c r="A104" s="4">
        <f t="shared" si="3"/>
        <v>45807</v>
      </c>
      <c r="B104" t="s">
        <v>30</v>
      </c>
      <c r="D104" s="1">
        <v>4</v>
      </c>
      <c r="E104" s="5" t="str">
        <f>_xlfn.IFNA(VLOOKUP(B104,$B:$G,4,0),"")</f>
        <v>盒</v>
      </c>
      <c r="F104" s="6">
        <f>_xlfn.IFNA(VLOOKUP(B104,$B:$G,5,0),"")</f>
        <v>280</v>
      </c>
      <c r="G104" s="7">
        <f>IFERROR(總表[[#This Row],[數量]]*總表[[#This Row],[單價]],"")</f>
        <v>1120</v>
      </c>
      <c r="H104" s="8" t="str">
        <f>IF(A104&lt;&gt;A103,SUMIF(A:A, A104, G:G),"")</f>
        <v/>
      </c>
    </row>
    <row r="105" spans="1:8" x14ac:dyDescent="0.3">
      <c r="A105" s="4">
        <f t="shared" si="3"/>
        <v>45807</v>
      </c>
      <c r="B105" t="s">
        <v>52</v>
      </c>
      <c r="D105" s="1">
        <v>4</v>
      </c>
      <c r="E105" s="5" t="str">
        <f>_xlfn.IFNA(VLOOKUP(B105,$B:$G,4,0),"")</f>
        <v>包</v>
      </c>
      <c r="F105" s="6">
        <f>_xlfn.IFNA(VLOOKUP(B105,$B:$G,5,0),"")</f>
        <v>155</v>
      </c>
      <c r="G105" s="7">
        <f>IFERROR(總表[[#This Row],[數量]]*總表[[#This Row],[單價]],"")</f>
        <v>620</v>
      </c>
      <c r="H105" s="8" t="str">
        <f>IF(A105&lt;&gt;A104,SUMIF(A:A, A105, G:G),"")</f>
        <v/>
      </c>
    </row>
    <row r="106" spans="1:8" x14ac:dyDescent="0.3">
      <c r="A106" s="4">
        <f t="shared" si="3"/>
        <v>45807</v>
      </c>
      <c r="B106" t="s">
        <v>54</v>
      </c>
      <c r="D106" s="1">
        <v>1</v>
      </c>
      <c r="E106" s="5" t="str">
        <f>_xlfn.IFNA(VLOOKUP(B106,$B:$G,4,0),"")</f>
        <v>包</v>
      </c>
      <c r="F106" s="6">
        <f>_xlfn.IFNA(VLOOKUP(B106,$B:$G,5,0),"")</f>
        <v>150</v>
      </c>
      <c r="G106" s="7">
        <f>IFERROR(總表[[#This Row],[數量]]*總表[[#This Row],[單價]],"")</f>
        <v>150</v>
      </c>
      <c r="H106" s="8" t="str">
        <f>IF(A106&lt;&gt;A105,SUMIF(A:A, A106, G:G),"")</f>
        <v/>
      </c>
    </row>
    <row r="107" spans="1:8" x14ac:dyDescent="0.3">
      <c r="A107" s="4">
        <f t="shared" si="3"/>
        <v>45807</v>
      </c>
      <c r="B107" t="s">
        <v>22</v>
      </c>
      <c r="D107" s="1">
        <v>3.7</v>
      </c>
      <c r="E107" s="5" t="str">
        <f>_xlfn.IFNA(VLOOKUP(B107,$B:$G,4,0),"")</f>
        <v>台斤</v>
      </c>
      <c r="F107" s="6">
        <f>_xlfn.IFNA(VLOOKUP(B107,$B:$G,5,0),"")</f>
        <v>40</v>
      </c>
      <c r="G107" s="7">
        <f>IFERROR(總表[[#This Row],[數量]]*總表[[#This Row],[單價]],"")</f>
        <v>148</v>
      </c>
      <c r="H107" s="8" t="str">
        <f>IF(A107&lt;&gt;A106,SUMIF(A:A, A107, G:G),"")</f>
        <v/>
      </c>
    </row>
    <row r="108" spans="1:8" x14ac:dyDescent="0.3">
      <c r="A108" s="4">
        <f t="shared" si="3"/>
        <v>45807</v>
      </c>
      <c r="B108" t="s">
        <v>61</v>
      </c>
      <c r="D108" s="1">
        <v>3.5</v>
      </c>
      <c r="E108" s="5" t="s">
        <v>5</v>
      </c>
      <c r="F108" s="6">
        <v>470</v>
      </c>
      <c r="G108" s="7">
        <f>IFERROR(總表[[#This Row],[數量]]*總表[[#This Row],[單價]],"")</f>
        <v>1645</v>
      </c>
      <c r="H108" s="8" t="str">
        <f>IF(A108&lt;&gt;A107,SUMIF(A:A, A108, G:G),"")</f>
        <v/>
      </c>
    </row>
    <row r="109" spans="1:8" x14ac:dyDescent="0.3">
      <c r="A109" s="4">
        <v>45808</v>
      </c>
      <c r="B109" t="s">
        <v>20</v>
      </c>
      <c r="D109" s="1">
        <v>2</v>
      </c>
      <c r="E109" s="5" t="str">
        <f>_xlfn.IFNA(VLOOKUP(B109,$B:$G,4,0),"")</f>
        <v>台斤</v>
      </c>
      <c r="F109" s="6">
        <v>110</v>
      </c>
      <c r="G109" s="7">
        <f>IFERROR(總表[[#This Row],[數量]]*總表[[#This Row],[單價]],"")</f>
        <v>220</v>
      </c>
      <c r="H109" s="8">
        <f>IF(A109&lt;&gt;A108,SUMIF(A:A, A109, G:G),"")</f>
        <v>3243.8</v>
      </c>
    </row>
    <row r="110" spans="1:8" x14ac:dyDescent="0.3">
      <c r="A110" s="4">
        <f t="shared" si="3"/>
        <v>45808</v>
      </c>
      <c r="B110" t="s">
        <v>38</v>
      </c>
      <c r="D110" s="1">
        <v>6</v>
      </c>
      <c r="E110" s="5" t="str">
        <f>_xlfn.IFNA(VLOOKUP(B110,$B:$G,4,0),"")</f>
        <v>盒</v>
      </c>
      <c r="F110" s="6">
        <f>_xlfn.IFNA(VLOOKUP(B110,$B:$G,5,0),"")</f>
        <v>85</v>
      </c>
      <c r="G110" s="7">
        <f>IFERROR(總表[[#This Row],[數量]]*總表[[#This Row],[單價]],"")</f>
        <v>510</v>
      </c>
      <c r="H110" s="8" t="str">
        <f>IF(A110&lt;&gt;A109,SUMIF(A:A, A110, G:G),"")</f>
        <v/>
      </c>
    </row>
    <row r="111" spans="1:8" x14ac:dyDescent="0.3">
      <c r="A111" s="4">
        <f t="shared" si="3"/>
        <v>45808</v>
      </c>
      <c r="B111" t="s">
        <v>16</v>
      </c>
      <c r="D111" s="1">
        <v>1</v>
      </c>
      <c r="E111" s="5" t="str">
        <f>_xlfn.IFNA(VLOOKUP(B111,$B:$G,4,0),"")</f>
        <v>台斤</v>
      </c>
      <c r="F111" s="6">
        <f>_xlfn.IFNA(VLOOKUP(B111,$B:$G,5,0),"")</f>
        <v>80</v>
      </c>
      <c r="G111" s="7">
        <f>IFERROR(總表[[#This Row],[數量]]*總表[[#This Row],[單價]],"")</f>
        <v>80</v>
      </c>
      <c r="H111" s="8" t="str">
        <f>IF(A111&lt;&gt;A110,SUMIF(A:A, A111, G:G),"")</f>
        <v/>
      </c>
    </row>
    <row r="112" spans="1:8" x14ac:dyDescent="0.3">
      <c r="A112" s="4">
        <f t="shared" si="3"/>
        <v>45808</v>
      </c>
      <c r="B112" t="s">
        <v>26</v>
      </c>
      <c r="D112" s="1">
        <v>1</v>
      </c>
      <c r="E112" s="5" t="str">
        <f>_xlfn.IFNA(VLOOKUP(B112,$B:$G,4,0),"")</f>
        <v>包</v>
      </c>
      <c r="F112" s="6">
        <f>_xlfn.IFNA(VLOOKUP(B112,$B:$G,5,0),"")</f>
        <v>100</v>
      </c>
      <c r="G112" s="7">
        <f>IFERROR(總表[[#This Row],[數量]]*總表[[#This Row],[單價]],"")</f>
        <v>100</v>
      </c>
      <c r="H112" s="8" t="str">
        <f>IF(A112&lt;&gt;A111,SUMIF(A:A, A112, G:G),"")</f>
        <v/>
      </c>
    </row>
    <row r="113" spans="1:8" x14ac:dyDescent="0.3">
      <c r="A113" s="4">
        <f t="shared" si="3"/>
        <v>45808</v>
      </c>
      <c r="B113" t="s">
        <v>15</v>
      </c>
      <c r="D113" s="1">
        <v>0.5</v>
      </c>
      <c r="E113" s="5" t="str">
        <f>_xlfn.IFNA(VLOOKUP(B113,$B:$G,4,0),"")</f>
        <v>台斤</v>
      </c>
      <c r="F113" s="6">
        <f>_xlfn.IFNA(VLOOKUP(B113,$B:$G,5,0),"")</f>
        <v>100</v>
      </c>
      <c r="G113" s="7">
        <f>IFERROR(總表[[#This Row],[數量]]*總表[[#This Row],[單價]],"")</f>
        <v>50</v>
      </c>
      <c r="H113" s="8" t="str">
        <f>IF(A113&lt;&gt;A112,SUMIF(A:A, A113, G:G),"")</f>
        <v/>
      </c>
    </row>
    <row r="114" spans="1:8" x14ac:dyDescent="0.3">
      <c r="A114" s="4">
        <f t="shared" si="3"/>
        <v>45808</v>
      </c>
      <c r="B114" t="s">
        <v>64</v>
      </c>
      <c r="D114" s="1">
        <v>0.125</v>
      </c>
      <c r="E114" s="5" t="str">
        <f>_xlfn.IFNA(VLOOKUP(B114,$B:$G,4,0),"")</f>
        <v>台斤</v>
      </c>
      <c r="F114" s="6">
        <f>_xlfn.IFNA(VLOOKUP(B114,$B:$G,5,0),"")</f>
        <v>1100</v>
      </c>
      <c r="G114" s="7">
        <f>IFERROR(總表[[#This Row],[數量]]*總表[[#This Row],[單價]],"")</f>
        <v>137.5</v>
      </c>
      <c r="H114" s="8" t="str">
        <f>IF(A114&lt;&gt;A113,SUMIF(A:A, A114, G:G),"")</f>
        <v/>
      </c>
    </row>
    <row r="115" spans="1:8" x14ac:dyDescent="0.3">
      <c r="A115" s="4">
        <f t="shared" si="3"/>
        <v>45808</v>
      </c>
      <c r="B115" t="s">
        <v>28</v>
      </c>
      <c r="D115" s="1">
        <v>2</v>
      </c>
      <c r="E115" s="5" t="str">
        <f>_xlfn.IFNA(VLOOKUP(B115,$B:$G,4,0),"")</f>
        <v>台斤</v>
      </c>
      <c r="F115" s="6">
        <f>_xlfn.IFNA(VLOOKUP(B115,$B:$G,5,0),"")</f>
        <v>120</v>
      </c>
      <c r="G115" s="7">
        <f>IFERROR(總表[[#This Row],[數量]]*總表[[#This Row],[單價]],"")</f>
        <v>240</v>
      </c>
      <c r="H115" s="8" t="str">
        <f>IF(A115&lt;&gt;A114,SUMIF(A:A, A115, G:G),"")</f>
        <v/>
      </c>
    </row>
    <row r="116" spans="1:8" x14ac:dyDescent="0.3">
      <c r="A116" s="4">
        <f t="shared" si="3"/>
        <v>45808</v>
      </c>
      <c r="B116" t="s">
        <v>44</v>
      </c>
      <c r="D116" s="1">
        <v>0.375</v>
      </c>
      <c r="E116" s="5" t="str">
        <f>_xlfn.IFNA(VLOOKUP(B116,$B:$G,4,0),"")</f>
        <v>台斤</v>
      </c>
      <c r="F116" s="6">
        <f>_xlfn.IFNA(VLOOKUP(B116,$B:$G,5,0),"")</f>
        <v>300</v>
      </c>
      <c r="G116" s="7">
        <f>IFERROR(總表[[#This Row],[數量]]*總表[[#This Row],[單價]],"")</f>
        <v>112.5</v>
      </c>
      <c r="H116" s="8" t="str">
        <f>IF(A116&lt;&gt;A115,SUMIF(A:A, A116, G:G),"")</f>
        <v/>
      </c>
    </row>
    <row r="117" spans="1:8" x14ac:dyDescent="0.3">
      <c r="A117" s="4">
        <f t="shared" si="3"/>
        <v>45808</v>
      </c>
      <c r="B117" t="s">
        <v>48</v>
      </c>
      <c r="D117" s="1">
        <v>0.5</v>
      </c>
      <c r="E117" s="5" t="str">
        <f>_xlfn.IFNA(VLOOKUP(B117,$B:$G,4,0),"")</f>
        <v>台斤</v>
      </c>
      <c r="F117" s="6">
        <f>_xlfn.IFNA(VLOOKUP(B117,$B:$G,5,0),"")</f>
        <v>140</v>
      </c>
      <c r="G117" s="7">
        <f>IFERROR(總表[[#This Row],[數量]]*總表[[#This Row],[單價]],"")</f>
        <v>70</v>
      </c>
      <c r="H117" s="8" t="str">
        <f>IF(A117&lt;&gt;A116,SUMIF(A:A, A117, G:G),"")</f>
        <v/>
      </c>
    </row>
    <row r="118" spans="1:8" x14ac:dyDescent="0.3">
      <c r="A118" s="4">
        <f t="shared" si="3"/>
        <v>45808</v>
      </c>
      <c r="B118" t="s">
        <v>36</v>
      </c>
      <c r="D118" s="1">
        <v>1</v>
      </c>
      <c r="E118" s="5" t="str">
        <f>_xlfn.IFNA(VLOOKUP(B118,$B:$G,4,0),"")</f>
        <v>台斤</v>
      </c>
      <c r="F118" s="6">
        <f>_xlfn.IFNA(VLOOKUP(B118,$B:$G,5,0),"")</f>
        <v>85</v>
      </c>
      <c r="G118" s="7">
        <f>IFERROR(總表[[#This Row],[數量]]*總表[[#This Row],[單價]],"")</f>
        <v>85</v>
      </c>
      <c r="H118" s="8" t="str">
        <f>IF(A118&lt;&gt;A117,SUMIF(A:A, A118, G:G),"")</f>
        <v/>
      </c>
    </row>
    <row r="119" spans="1:8" x14ac:dyDescent="0.3">
      <c r="A119" s="4">
        <f t="shared" si="3"/>
        <v>45808</v>
      </c>
      <c r="B119" t="s">
        <v>24</v>
      </c>
      <c r="D119" s="1">
        <v>4</v>
      </c>
      <c r="E119" s="5" t="str">
        <f>_xlfn.IFNA(VLOOKUP(B119,$B:$G,4,0),"")</f>
        <v>台斤</v>
      </c>
      <c r="F119" s="6">
        <f>_xlfn.IFNA(VLOOKUP(B119,$B:$G,5,0),"")</f>
        <v>155</v>
      </c>
      <c r="G119" s="7">
        <f>IFERROR(總表[[#This Row],[數量]]*總表[[#This Row],[單價]],"")</f>
        <v>620</v>
      </c>
      <c r="H119" s="8" t="str">
        <f>IF(A119&lt;&gt;A118,SUMIF(A:A, A119, G:G),"")</f>
        <v/>
      </c>
    </row>
    <row r="120" spans="1:8" x14ac:dyDescent="0.3">
      <c r="A120" s="4">
        <f t="shared" si="3"/>
        <v>45808</v>
      </c>
      <c r="B120" t="s">
        <v>34</v>
      </c>
      <c r="D120" s="1">
        <v>3.17</v>
      </c>
      <c r="E120" s="5" t="str">
        <f>_xlfn.IFNA(VLOOKUP(B120,$B:$G,4,0),"")</f>
        <v>台斤</v>
      </c>
      <c r="F120" s="6">
        <f>_xlfn.IFNA(VLOOKUP(B120,$B:$G,5,0),"")</f>
        <v>100</v>
      </c>
      <c r="G120" s="7">
        <f>IFERROR(總表[[#This Row],[數量]]*總表[[#This Row],[單價]],"")</f>
        <v>317</v>
      </c>
      <c r="H120" s="8" t="str">
        <f>IF(A120&lt;&gt;A119,SUMIF(A:A, A120, G:G),"")</f>
        <v/>
      </c>
    </row>
    <row r="121" spans="1:8" x14ac:dyDescent="0.3">
      <c r="A121" s="4">
        <f t="shared" si="3"/>
        <v>45808</v>
      </c>
      <c r="B121" t="s">
        <v>28</v>
      </c>
      <c r="D121" s="1">
        <v>1.5</v>
      </c>
      <c r="E121" s="5" t="str">
        <f>_xlfn.IFNA(VLOOKUP(B121,$B:$G,4,0),"")</f>
        <v>台斤</v>
      </c>
      <c r="F121" s="6">
        <v>150</v>
      </c>
      <c r="G121" s="7">
        <f>IFERROR(總表[[#This Row],[數量]]*總表[[#This Row],[單價]],"")</f>
        <v>225</v>
      </c>
      <c r="H121" s="8" t="str">
        <f>IF(A121&lt;&gt;A120,SUMIF(A:A, A121, G:G),"")</f>
        <v/>
      </c>
    </row>
    <row r="122" spans="1:8" x14ac:dyDescent="0.3">
      <c r="A122" s="4">
        <f t="shared" si="3"/>
        <v>45808</v>
      </c>
      <c r="B122" t="s">
        <v>22</v>
      </c>
      <c r="D122" s="1">
        <v>5.87</v>
      </c>
      <c r="E122" s="5" t="str">
        <f>_xlfn.IFNA(VLOOKUP(B122,$B:$G,4,0),"")</f>
        <v>台斤</v>
      </c>
      <c r="F122" s="6">
        <f>_xlfn.IFNA(VLOOKUP(B122,$B:$G,5,0),"")</f>
        <v>40</v>
      </c>
      <c r="G122" s="7">
        <f>IFERROR(總表[[#This Row],[數量]]*總表[[#This Row],[單價]],"")</f>
        <v>234.8</v>
      </c>
      <c r="H122" s="8" t="str">
        <f>IF(A122&lt;&gt;A121,SUMIF(A:A, A122, G:G),"")</f>
        <v/>
      </c>
    </row>
    <row r="123" spans="1:8" x14ac:dyDescent="0.3">
      <c r="A123" s="4">
        <f t="shared" si="3"/>
        <v>45808</v>
      </c>
      <c r="B123" t="s">
        <v>18</v>
      </c>
      <c r="D123" s="1">
        <v>2.1949999999999998</v>
      </c>
      <c r="E123" s="5" t="str">
        <f>_xlfn.IFNA(VLOOKUP(B123,$B:$G,4,0),"")</f>
        <v>台斤</v>
      </c>
      <c r="F123" s="6">
        <v>110</v>
      </c>
      <c r="G123" s="7">
        <v>242</v>
      </c>
      <c r="H123" s="8" t="str">
        <f>IF(A123&lt;&gt;A122,SUMIF(A:A, A123, G:G),"")</f>
        <v/>
      </c>
    </row>
    <row r="124" spans="1:8" x14ac:dyDescent="0.3">
      <c r="A124" s="4">
        <v>45812</v>
      </c>
      <c r="B124" t="s">
        <v>63</v>
      </c>
      <c r="D124" s="1">
        <v>10</v>
      </c>
      <c r="E124" s="5" t="s">
        <v>5</v>
      </c>
      <c r="F124" s="6">
        <v>340</v>
      </c>
      <c r="G124" s="7">
        <f>IFERROR(總表[[#This Row],[數量]]*總表[[#This Row],[單價]],"")</f>
        <v>3400</v>
      </c>
      <c r="H124" s="8">
        <f>IF(A124&lt;&gt;A123,SUMIF(A:A, A124, G:G),"")</f>
        <v>4722.5</v>
      </c>
    </row>
    <row r="125" spans="1:8" x14ac:dyDescent="0.3">
      <c r="A125" s="4">
        <f t="shared" si="3"/>
        <v>45812</v>
      </c>
      <c r="B125" t="s">
        <v>52</v>
      </c>
      <c r="D125" s="1">
        <v>4</v>
      </c>
      <c r="E125" s="5" t="str">
        <f>_xlfn.IFNA(VLOOKUP(B125,$B:$G,4,0),"")</f>
        <v>包</v>
      </c>
      <c r="F125" s="6">
        <f>_xlfn.IFNA(VLOOKUP(B125,$B:$G,5,0),"")</f>
        <v>155</v>
      </c>
      <c r="G125" s="7">
        <f>IFERROR(總表[[#This Row],[數量]]*總表[[#This Row],[單價]],"")</f>
        <v>620</v>
      </c>
      <c r="H125" s="8" t="str">
        <f>IF(A125&lt;&gt;A124,SUMIF(A:A, A125, G:G),"")</f>
        <v/>
      </c>
    </row>
    <row r="126" spans="1:8" x14ac:dyDescent="0.3">
      <c r="A126" s="4">
        <f t="shared" si="3"/>
        <v>45812</v>
      </c>
      <c r="B126" t="s">
        <v>38</v>
      </c>
      <c r="D126" s="1">
        <v>6</v>
      </c>
      <c r="E126" s="5" t="str">
        <f>_xlfn.IFNA(VLOOKUP(B126,$B:$G,4,0),"")</f>
        <v>盒</v>
      </c>
      <c r="F126" s="6">
        <f>_xlfn.IFNA(VLOOKUP(B126,$B:$G,5,0),"")</f>
        <v>85</v>
      </c>
      <c r="G126" s="7">
        <f>IFERROR(總表[[#This Row],[數量]]*總表[[#This Row],[單價]],"")</f>
        <v>510</v>
      </c>
      <c r="H126" s="8" t="str">
        <f>IF(A126&lt;&gt;A125,SUMIF(A:A, A126, G:G),"")</f>
        <v/>
      </c>
    </row>
    <row r="127" spans="1:8" x14ac:dyDescent="0.3">
      <c r="A127" s="4">
        <f t="shared" si="3"/>
        <v>45812</v>
      </c>
      <c r="B127" t="s">
        <v>44</v>
      </c>
      <c r="D127" s="1">
        <v>0.125</v>
      </c>
      <c r="E127" s="5" t="str">
        <f>_xlfn.IFNA(VLOOKUP(B127,$B:$G,4,0),"")</f>
        <v>台斤</v>
      </c>
      <c r="F127" s="6">
        <f>_xlfn.IFNA(VLOOKUP(B127,$B:$G,5,0),"")</f>
        <v>300</v>
      </c>
      <c r="G127" s="7">
        <f>IFERROR(總表[[#This Row],[數量]]*總表[[#This Row],[單價]],"")</f>
        <v>37.5</v>
      </c>
      <c r="H127" s="8" t="str">
        <f>IF(A127&lt;&gt;A126,SUMIF(A:A, A127, G:G),"")</f>
        <v/>
      </c>
    </row>
    <row r="128" spans="1:8" x14ac:dyDescent="0.3">
      <c r="A128" s="4">
        <f t="shared" si="3"/>
        <v>45812</v>
      </c>
      <c r="B128" t="s">
        <v>24</v>
      </c>
      <c r="D128" s="1">
        <v>1</v>
      </c>
      <c r="E128" s="5" t="str">
        <f>_xlfn.IFNA(VLOOKUP(B128,$B:$G,4,0),"")</f>
        <v>台斤</v>
      </c>
      <c r="F128" s="6">
        <f>_xlfn.IFNA(VLOOKUP(B128,$B:$G,5,0),"")</f>
        <v>155</v>
      </c>
      <c r="G128" s="7">
        <f>IFERROR(總表[[#This Row],[數量]]*總表[[#This Row],[單價]],"")</f>
        <v>155</v>
      </c>
      <c r="H128" s="8" t="str">
        <f>IF(A128&lt;&gt;A127,SUMIF(A:A, A128, G:G),"")</f>
        <v/>
      </c>
    </row>
    <row r="129" spans="1:8" x14ac:dyDescent="0.3">
      <c r="A129" s="4">
        <v>45814</v>
      </c>
      <c r="B129" t="s">
        <v>44</v>
      </c>
      <c r="D129" s="1">
        <v>0.185</v>
      </c>
      <c r="E129" s="5" t="str">
        <f>_xlfn.IFNA(VLOOKUP(B129,$B:$G,4,0),"")</f>
        <v>台斤</v>
      </c>
      <c r="F129" s="6">
        <f>_xlfn.IFNA(VLOOKUP(B129,$B:$G,5,0),"")</f>
        <v>300</v>
      </c>
      <c r="G129" s="7">
        <f>IFERROR(總表[[#This Row],[數量]]*總表[[#This Row],[單價]],"")</f>
        <v>55.5</v>
      </c>
      <c r="H129" s="8">
        <f>IF(A129&lt;&gt;A128,SUMIF(A:A, A129, G:G),"")</f>
        <v>1394.95</v>
      </c>
    </row>
    <row r="130" spans="1:8" x14ac:dyDescent="0.3">
      <c r="A130" s="4">
        <f t="shared" si="3"/>
        <v>45814</v>
      </c>
      <c r="B130" t="s">
        <v>15</v>
      </c>
      <c r="D130" s="1">
        <v>0.38</v>
      </c>
      <c r="E130" s="5" t="str">
        <f>_xlfn.IFNA(VLOOKUP(B130,$B:$G,4,0),"")</f>
        <v>台斤</v>
      </c>
      <c r="F130" s="6">
        <f>_xlfn.IFNA(VLOOKUP(B130,$B:$G,5,0),"")</f>
        <v>100</v>
      </c>
      <c r="G130" s="7">
        <f>IFERROR(總表[[#This Row],[數量]]*總表[[#This Row],[單價]],"")</f>
        <v>38</v>
      </c>
      <c r="H130" s="8" t="str">
        <f>IF(A130&lt;&gt;A129,SUMIF(A:A, A130, G:G),"")</f>
        <v/>
      </c>
    </row>
    <row r="131" spans="1:8" x14ac:dyDescent="0.3">
      <c r="A131" s="4">
        <f t="shared" si="3"/>
        <v>45814</v>
      </c>
      <c r="B131" t="s">
        <v>18</v>
      </c>
      <c r="D131" s="1">
        <v>1</v>
      </c>
      <c r="E131" s="5" t="str">
        <f>_xlfn.IFNA(VLOOKUP(B131,$B:$G,4,0),"")</f>
        <v>台斤</v>
      </c>
      <c r="F131" s="6">
        <v>110</v>
      </c>
      <c r="G131" s="7">
        <f>IFERROR(總表[[#This Row],[數量]]*總表[[#This Row],[單價]],"")</f>
        <v>110</v>
      </c>
      <c r="H131" s="8" t="str">
        <f>IF(A131&lt;&gt;A130,SUMIF(A:A, A131, G:G),"")</f>
        <v/>
      </c>
    </row>
    <row r="132" spans="1:8" x14ac:dyDescent="0.3">
      <c r="A132" s="4">
        <f t="shared" si="3"/>
        <v>45814</v>
      </c>
      <c r="B132" t="s">
        <v>20</v>
      </c>
      <c r="D132" s="1">
        <v>1.1950000000000001</v>
      </c>
      <c r="E132" s="5" t="str">
        <f>_xlfn.IFNA(VLOOKUP(B132,$B:$G,4,0),"")</f>
        <v>台斤</v>
      </c>
      <c r="F132" s="6">
        <v>110</v>
      </c>
      <c r="G132" s="7">
        <f>IFERROR(總表[[#This Row],[數量]]*總表[[#This Row],[單價]],"")</f>
        <v>131.45000000000002</v>
      </c>
      <c r="H132" s="8" t="str">
        <f>IF(A132&lt;&gt;A131,SUMIF(A:A, A132, G:G),"")</f>
        <v/>
      </c>
    </row>
    <row r="133" spans="1:8" x14ac:dyDescent="0.3">
      <c r="A133" s="4">
        <f t="shared" si="3"/>
        <v>45814</v>
      </c>
      <c r="B133" t="s">
        <v>28</v>
      </c>
      <c r="D133" s="1">
        <v>1</v>
      </c>
      <c r="E133" s="5" t="str">
        <f>_xlfn.IFNA(VLOOKUP(B133,$B:$G,4,0),"")</f>
        <v>台斤</v>
      </c>
      <c r="F133" s="6">
        <f>_xlfn.IFNA(VLOOKUP(B133,$B:$G,5,0),"")</f>
        <v>120</v>
      </c>
      <c r="G133" s="7">
        <f>IFERROR(總表[[#This Row],[數量]]*總表[[#This Row],[單價]],"")</f>
        <v>120</v>
      </c>
      <c r="H133" s="8" t="str">
        <f>IF(A133&lt;&gt;A132,SUMIF(A:A, A133, G:G),"")</f>
        <v/>
      </c>
    </row>
    <row r="134" spans="1:8" x14ac:dyDescent="0.3">
      <c r="A134" s="4">
        <f t="shared" si="3"/>
        <v>45814</v>
      </c>
      <c r="B134" t="s">
        <v>26</v>
      </c>
      <c r="D134" s="1">
        <v>1</v>
      </c>
      <c r="E134" s="5" t="str">
        <f>_xlfn.IFNA(VLOOKUP(B134,$B:$G,4,0),"")</f>
        <v>包</v>
      </c>
      <c r="F134" s="6">
        <f>_xlfn.IFNA(VLOOKUP(B134,$B:$G,5,0),"")</f>
        <v>100</v>
      </c>
      <c r="G134" s="7">
        <f>IFERROR(總表[[#This Row],[數量]]*總表[[#This Row],[單價]],"")</f>
        <v>100</v>
      </c>
      <c r="H134" s="8" t="str">
        <f>IF(A134&lt;&gt;A133,SUMIF(A:A, A134, G:G),"")</f>
        <v/>
      </c>
    </row>
    <row r="135" spans="1:8" x14ac:dyDescent="0.3">
      <c r="A135" s="4">
        <f t="shared" si="3"/>
        <v>45814</v>
      </c>
      <c r="B135" t="s">
        <v>30</v>
      </c>
      <c r="D135" s="1">
        <v>3</v>
      </c>
      <c r="E135" s="5" t="str">
        <f>_xlfn.IFNA(VLOOKUP(B135,$B:$G,4,0),"")</f>
        <v>盒</v>
      </c>
      <c r="F135" s="6">
        <f>_xlfn.IFNA(VLOOKUP(B135,$B:$G,5,0),"")</f>
        <v>280</v>
      </c>
      <c r="G135" s="7">
        <f>IFERROR(總表[[#This Row],[數量]]*總表[[#This Row],[單價]],"")</f>
        <v>840</v>
      </c>
      <c r="H135" s="8" t="str">
        <f>IF(A135&lt;&gt;A134,SUMIF(A:A, A135, G:G),"")</f>
        <v/>
      </c>
    </row>
    <row r="136" spans="1:8" x14ac:dyDescent="0.3">
      <c r="A136" s="4">
        <v>45815</v>
      </c>
      <c r="B136" t="s">
        <v>26</v>
      </c>
      <c r="D136" s="1">
        <v>1</v>
      </c>
      <c r="E136" s="5" t="str">
        <f>_xlfn.IFNA(VLOOKUP(B136,$B:$G,4,0),"")</f>
        <v>包</v>
      </c>
      <c r="F136" s="6">
        <f>_xlfn.IFNA(VLOOKUP(B136,$B:$G,5,0),"")</f>
        <v>100</v>
      </c>
      <c r="G136" s="7">
        <f>IFERROR(總表[[#This Row],[數量]]*總表[[#This Row],[單價]],"")</f>
        <v>100</v>
      </c>
      <c r="H136" s="8">
        <f>IF(A136&lt;&gt;A135,SUMIF(A:A, A136, G:G),"")</f>
        <v>670</v>
      </c>
    </row>
    <row r="137" spans="1:8" x14ac:dyDescent="0.3">
      <c r="A137" s="4">
        <f t="shared" si="3"/>
        <v>45815</v>
      </c>
      <c r="B137" t="s">
        <v>38</v>
      </c>
      <c r="D137" s="1">
        <v>3</v>
      </c>
      <c r="E137" s="5" t="str">
        <f>_xlfn.IFNA(VLOOKUP(B137,$B:$G,4,0),"")</f>
        <v>盒</v>
      </c>
      <c r="F137" s="6">
        <f>_xlfn.IFNA(VLOOKUP(B137,$B:$G,5,0),"")</f>
        <v>85</v>
      </c>
      <c r="G137" s="7">
        <f>IFERROR(總表[[#This Row],[數量]]*總表[[#This Row],[單價]],"")</f>
        <v>255</v>
      </c>
      <c r="H137" s="8" t="str">
        <f>IF(A137&lt;&gt;A136,SUMIF(A:A, A137, G:G),"")</f>
        <v/>
      </c>
    </row>
    <row r="138" spans="1:8" x14ac:dyDescent="0.3">
      <c r="A138" s="4">
        <f t="shared" si="3"/>
        <v>45815</v>
      </c>
      <c r="B138" t="s">
        <v>42</v>
      </c>
      <c r="D138" s="1">
        <v>1</v>
      </c>
      <c r="E138" s="5" t="str">
        <f>_xlfn.IFNA(VLOOKUP(B138,$B:$G,4,0),"")</f>
        <v>盒</v>
      </c>
      <c r="F138" s="6">
        <f>_xlfn.IFNA(VLOOKUP(B138,$B:$G,5,0),"")</f>
        <v>125</v>
      </c>
      <c r="G138" s="7">
        <f>IFERROR(總表[[#This Row],[數量]]*總表[[#This Row],[單價]],"")</f>
        <v>125</v>
      </c>
      <c r="H138" s="8" t="str">
        <f>IF(A138&lt;&gt;A137,SUMIF(A:A, A138, G:G),"")</f>
        <v/>
      </c>
    </row>
    <row r="139" spans="1:8" x14ac:dyDescent="0.3">
      <c r="A139" s="4">
        <f t="shared" si="3"/>
        <v>45815</v>
      </c>
      <c r="B139" t="s">
        <v>16</v>
      </c>
      <c r="D139" s="1">
        <v>1</v>
      </c>
      <c r="E139" s="5" t="str">
        <f>_xlfn.IFNA(VLOOKUP(B139,$B:$G,4,0),"")</f>
        <v>台斤</v>
      </c>
      <c r="F139" s="6">
        <v>70</v>
      </c>
      <c r="G139" s="7">
        <f>IFERROR(總表[[#This Row],[數量]]*總表[[#This Row],[單價]],"")</f>
        <v>70</v>
      </c>
      <c r="H139" s="8" t="str">
        <f>IF(A139&lt;&gt;A138,SUMIF(A:A, A139, G:G),"")</f>
        <v/>
      </c>
    </row>
    <row r="140" spans="1:8" x14ac:dyDescent="0.3">
      <c r="A140" s="4">
        <f t="shared" si="3"/>
        <v>45815</v>
      </c>
      <c r="B140" t="s">
        <v>32</v>
      </c>
      <c r="D140" s="1">
        <v>0.5</v>
      </c>
      <c r="E140" s="5" t="str">
        <f>_xlfn.IFNA(VLOOKUP(B140,$B:$G,4,0),"")</f>
        <v>台斤</v>
      </c>
      <c r="F140" s="6">
        <f>_xlfn.IFNA(VLOOKUP(B140,$B:$G,5,0),"")</f>
        <v>240</v>
      </c>
      <c r="G140" s="7">
        <f>IFERROR(總表[[#This Row],[數量]]*總表[[#This Row],[單價]],"")</f>
        <v>120</v>
      </c>
      <c r="H140" s="8" t="str">
        <f>IF(A140&lt;&gt;A139,SUMIF(A:A, A140, G:G),"")</f>
        <v/>
      </c>
    </row>
    <row r="141" spans="1:8" x14ac:dyDescent="0.3">
      <c r="A141" s="4">
        <v>45816</v>
      </c>
      <c r="B141" t="s">
        <v>15</v>
      </c>
      <c r="D141" s="1">
        <v>0.25</v>
      </c>
      <c r="E141" s="5" t="str">
        <f>_xlfn.IFNA(VLOOKUP(B141,$B:$G,4,0),"")</f>
        <v>台斤</v>
      </c>
      <c r="F141" s="6">
        <f>_xlfn.IFNA(VLOOKUP(B141,$B:$G,5,0),"")</f>
        <v>100</v>
      </c>
      <c r="G141" s="7">
        <f>IFERROR(總表[[#This Row],[數量]]*總表[[#This Row],[單價]],"")</f>
        <v>25</v>
      </c>
      <c r="H141" s="8">
        <f>IF(A141&lt;&gt;A140,SUMIF(A:A, A141, G:G),"")</f>
        <v>4289.8500000000004</v>
      </c>
    </row>
    <row r="142" spans="1:8" x14ac:dyDescent="0.3">
      <c r="A142" s="4">
        <f t="shared" si="3"/>
        <v>45816</v>
      </c>
      <c r="B142" t="s">
        <v>44</v>
      </c>
      <c r="D142" s="1">
        <v>0.185</v>
      </c>
      <c r="E142" s="5" t="str">
        <f>_xlfn.IFNA(VLOOKUP(B142,$B:$G,4,0),"")</f>
        <v>台斤</v>
      </c>
      <c r="F142" s="6">
        <f>_xlfn.IFNA(VLOOKUP(B142,$B:$G,5,0),"")</f>
        <v>300</v>
      </c>
      <c r="G142" s="7">
        <f>IFERROR(總表[[#This Row],[數量]]*總表[[#This Row],[單價]],"")</f>
        <v>55.5</v>
      </c>
      <c r="H142" s="8" t="str">
        <f>IF(A142&lt;&gt;A141,SUMIF(A:A, A142, G:G),"")</f>
        <v/>
      </c>
    </row>
    <row r="143" spans="1:8" x14ac:dyDescent="0.3">
      <c r="A143" s="4">
        <f t="shared" si="3"/>
        <v>45816</v>
      </c>
      <c r="B143" t="s">
        <v>64</v>
      </c>
      <c r="D143" s="1">
        <v>0.125</v>
      </c>
      <c r="E143" s="5" t="str">
        <f>_xlfn.IFNA(VLOOKUP(B143,$B:$G,4,0),"")</f>
        <v>台斤</v>
      </c>
      <c r="F143" s="6">
        <f>_xlfn.IFNA(VLOOKUP(B143,$B:$G,5,0),"")</f>
        <v>1100</v>
      </c>
      <c r="G143" s="7">
        <f>IFERROR(總表[[#This Row],[數量]]*總表[[#This Row],[單價]],"")</f>
        <v>137.5</v>
      </c>
      <c r="H143" s="8" t="str">
        <f>IF(A143&lt;&gt;A142,SUMIF(A:A, A143, G:G),"")</f>
        <v/>
      </c>
    </row>
    <row r="144" spans="1:8" x14ac:dyDescent="0.3">
      <c r="A144" s="4">
        <f t="shared" si="3"/>
        <v>45816</v>
      </c>
      <c r="B144" t="s">
        <v>34</v>
      </c>
      <c r="D144" s="1">
        <v>2.94</v>
      </c>
      <c r="E144" s="5" t="str">
        <f>_xlfn.IFNA(VLOOKUP(B144,$B:$G,4,0),"")</f>
        <v>台斤</v>
      </c>
      <c r="F144" s="6">
        <v>160</v>
      </c>
      <c r="G144" s="7">
        <f>IFERROR(總表[[#This Row],[數量]]*總表[[#This Row],[單價]],"")</f>
        <v>470.4</v>
      </c>
      <c r="H144" s="8" t="str">
        <f>IF(A144&lt;&gt;A143,SUMIF(A:A, A144, G:G),"")</f>
        <v/>
      </c>
    </row>
    <row r="145" spans="1:8" x14ac:dyDescent="0.3">
      <c r="A145" s="4">
        <f t="shared" si="3"/>
        <v>45816</v>
      </c>
      <c r="B145" t="s">
        <v>18</v>
      </c>
      <c r="D145" s="1">
        <v>2.1949999999999998</v>
      </c>
      <c r="E145" s="5" t="str">
        <f>_xlfn.IFNA(VLOOKUP(B145,$B:$G,4,0),"")</f>
        <v>台斤</v>
      </c>
      <c r="F145" s="6">
        <v>110</v>
      </c>
      <c r="G145" s="7">
        <f>IFERROR(總表[[#This Row],[數量]]*總表[[#This Row],[單價]],"")</f>
        <v>241.45</v>
      </c>
      <c r="H145" s="8" t="str">
        <f>IF(A145&lt;&gt;A144,SUMIF(A:A, A145, G:G),"")</f>
        <v/>
      </c>
    </row>
    <row r="146" spans="1:8" x14ac:dyDescent="0.3">
      <c r="A146" s="4">
        <f t="shared" si="3"/>
        <v>45816</v>
      </c>
      <c r="B146" t="s">
        <v>20</v>
      </c>
      <c r="D146" s="1">
        <v>2</v>
      </c>
      <c r="E146" s="5" t="str">
        <f>_xlfn.IFNA(VLOOKUP(B146,$B:$G,4,0),"")</f>
        <v>台斤</v>
      </c>
      <c r="F146" s="6">
        <v>110</v>
      </c>
      <c r="G146" s="7">
        <f>IFERROR(總表[[#This Row],[數量]]*總表[[#This Row],[單價]],"")</f>
        <v>220</v>
      </c>
      <c r="H146" s="8" t="str">
        <f>IF(A146&lt;&gt;A145,SUMIF(A:A, A146, G:G),"")</f>
        <v/>
      </c>
    </row>
    <row r="147" spans="1:8" x14ac:dyDescent="0.3">
      <c r="A147" s="4">
        <f t="shared" ref="A147:A149" si="4">IF(B147="","",A146)</f>
        <v>45816</v>
      </c>
      <c r="B147" t="s">
        <v>38</v>
      </c>
      <c r="D147" s="1">
        <v>4</v>
      </c>
      <c r="E147" s="5" t="str">
        <f>_xlfn.IFNA(VLOOKUP(B147,$B:$G,4,0),"")</f>
        <v>盒</v>
      </c>
      <c r="F147" s="6">
        <v>40</v>
      </c>
      <c r="G147" s="7">
        <f>IFERROR(總表[[#This Row],[數量]]*總表[[#This Row],[單價]],"")</f>
        <v>160</v>
      </c>
      <c r="H147" s="8" t="str">
        <f>IF(A147&lt;&gt;A146,SUMIF(A:A, A147, G:G),"")</f>
        <v/>
      </c>
    </row>
    <row r="148" spans="1:8" x14ac:dyDescent="0.3">
      <c r="A148" s="4">
        <f t="shared" si="4"/>
        <v>45816</v>
      </c>
      <c r="B148" t="s">
        <v>22</v>
      </c>
      <c r="D148" s="1">
        <v>5</v>
      </c>
      <c r="E148" s="5" t="str">
        <f>_xlfn.IFNA(VLOOKUP(B148,$B:$G,4,0),"")</f>
        <v>台斤</v>
      </c>
      <c r="F148" s="6">
        <v>85</v>
      </c>
      <c r="G148" s="7">
        <f>IFERROR(總表[[#This Row],[數量]]*總表[[#This Row],[單價]],"")</f>
        <v>425</v>
      </c>
      <c r="H148" s="8" t="str">
        <f>IF(A148&lt;&gt;A147,SUMIF(A:A, A148, G:G),"")</f>
        <v/>
      </c>
    </row>
    <row r="149" spans="1:8" x14ac:dyDescent="0.3">
      <c r="A149" s="4">
        <f t="shared" si="4"/>
        <v>45816</v>
      </c>
      <c r="B149" t="s">
        <v>24</v>
      </c>
      <c r="D149" s="1">
        <v>1</v>
      </c>
      <c r="E149" s="5" t="str">
        <f>_xlfn.IFNA(VLOOKUP(B149,$B:$G,4,0),"")</f>
        <v>台斤</v>
      </c>
      <c r="F149" s="6">
        <f>_xlfn.IFNA(VLOOKUP(B149,$B:$G,5,0),"")</f>
        <v>155</v>
      </c>
      <c r="G149" s="7">
        <f>IFERROR(總表[[#This Row],[數量]]*總表[[#This Row],[單價]],"")</f>
        <v>155</v>
      </c>
      <c r="H149" s="8" t="str">
        <f>IF(A149&lt;&gt;A148,SUMIF(A:A, A149, G:G),"")</f>
        <v/>
      </c>
    </row>
    <row r="150" spans="1:8" x14ac:dyDescent="0.3">
      <c r="A150" s="4">
        <f t="shared" si="3"/>
        <v>45816</v>
      </c>
      <c r="B150" t="s">
        <v>40</v>
      </c>
      <c r="D150" s="1">
        <v>15</v>
      </c>
      <c r="E150" s="5" t="str">
        <f>_xlfn.IFNA(VLOOKUP(B150,$B:$G,4,0),"")</f>
        <v>台斤</v>
      </c>
      <c r="F150" s="6">
        <f>_xlfn.IFNA(VLOOKUP(B150,$B:$G,5,0),"")</f>
        <v>145</v>
      </c>
      <c r="G150" s="7">
        <f>IFERROR(總表[[#This Row],[數量]]*總表[[#This Row],[單價]],"")</f>
        <v>2175</v>
      </c>
      <c r="H150" s="8" t="str">
        <f>IF(A150&lt;&gt;A149,SUMIF(A:A, A150, G:G),"")</f>
        <v/>
      </c>
    </row>
    <row r="151" spans="1:8" x14ac:dyDescent="0.3">
      <c r="A151" s="4">
        <f t="shared" si="3"/>
        <v>45816</v>
      </c>
      <c r="B151" t="s">
        <v>58</v>
      </c>
      <c r="D151" s="1">
        <v>3</v>
      </c>
      <c r="E151" s="5" t="str">
        <f>_xlfn.IFNA(VLOOKUP(B151,$B:$G,4,0),"")</f>
        <v>盒</v>
      </c>
      <c r="F151" s="6">
        <v>75</v>
      </c>
      <c r="G151" s="7">
        <f>IFERROR(總表[[#This Row],[數量]]*總表[[#This Row],[單價]],"")</f>
        <v>225</v>
      </c>
      <c r="H151" s="8" t="str">
        <f>IF(A151&lt;&gt;A150,SUMIF(A:A, A151, G:G),"")</f>
        <v/>
      </c>
    </row>
    <row r="152" spans="1:8" x14ac:dyDescent="0.3">
      <c r="A152" s="4">
        <v>45818</v>
      </c>
      <c r="B152" t="s">
        <v>38</v>
      </c>
      <c r="D152" s="1">
        <v>3</v>
      </c>
      <c r="E152" s="5" t="str">
        <f>_xlfn.IFNA(VLOOKUP(B152,$B:$G,4,0),"")</f>
        <v>盒</v>
      </c>
      <c r="F152" s="6">
        <v>85</v>
      </c>
      <c r="G152" s="7">
        <f>IFERROR(總表[[#This Row],[數量]]*總表[[#This Row],[單價]],"")</f>
        <v>255</v>
      </c>
      <c r="H152" s="8">
        <f>IF(A152&lt;&gt;A151,SUMIF(A:A, A152, G:G),"")</f>
        <v>1028</v>
      </c>
    </row>
    <row r="153" spans="1:8" x14ac:dyDescent="0.3">
      <c r="A153" s="4">
        <f t="shared" si="3"/>
        <v>45818</v>
      </c>
      <c r="B153" t="s">
        <v>24</v>
      </c>
      <c r="D153" s="1">
        <v>2</v>
      </c>
      <c r="E153" s="5" t="str">
        <f>_xlfn.IFNA(VLOOKUP(B153,$B:$G,4,0),"")</f>
        <v>台斤</v>
      </c>
      <c r="F153" s="6">
        <f>_xlfn.IFNA(VLOOKUP(B153,$B:$G,5,0),"")</f>
        <v>155</v>
      </c>
      <c r="G153" s="7">
        <f>IFERROR(總表[[#This Row],[數量]]*總表[[#This Row],[單價]],"")</f>
        <v>310</v>
      </c>
      <c r="H153" s="8" t="str">
        <f>IF(A153&lt;&gt;A152,SUMIF(A:A, A153, G:G),"")</f>
        <v/>
      </c>
    </row>
    <row r="154" spans="1:8" x14ac:dyDescent="0.3">
      <c r="A154" s="4">
        <f t="shared" si="3"/>
        <v>45818</v>
      </c>
      <c r="B154" t="s">
        <v>15</v>
      </c>
      <c r="D154" s="1">
        <v>0.13</v>
      </c>
      <c r="E154" s="5" t="str">
        <f>_xlfn.IFNA(VLOOKUP(B154,$B:$G,4,0),"")</f>
        <v>台斤</v>
      </c>
      <c r="F154" s="6">
        <f>_xlfn.IFNA(VLOOKUP(B154,$B:$G,5,0),"")</f>
        <v>100</v>
      </c>
      <c r="G154" s="7">
        <f>IFERROR(總表[[#This Row],[數量]]*總表[[#This Row],[單價]],"")</f>
        <v>13</v>
      </c>
      <c r="H154" s="8" t="str">
        <f>IF(A154&lt;&gt;A153,SUMIF(A:A, A154, G:G),"")</f>
        <v/>
      </c>
    </row>
    <row r="155" spans="1:8" x14ac:dyDescent="0.3">
      <c r="A155" s="4">
        <f t="shared" si="3"/>
        <v>45818</v>
      </c>
      <c r="B155" t="s">
        <v>44</v>
      </c>
      <c r="D155" s="1">
        <v>0.25</v>
      </c>
      <c r="E155" s="5" t="str">
        <f>_xlfn.IFNA(VLOOKUP(B155,$B:$G,4,0),"")</f>
        <v>台斤</v>
      </c>
      <c r="F155" s="6">
        <f>_xlfn.IFNA(VLOOKUP(B155,$B:$G,5,0),"")</f>
        <v>300</v>
      </c>
      <c r="G155" s="7">
        <f>IFERROR(總表[[#This Row],[數量]]*總表[[#This Row],[單價]],"")</f>
        <v>75</v>
      </c>
      <c r="H155" s="8" t="str">
        <f>IF(A155&lt;&gt;A154,SUMIF(A:A, A155, G:G),"")</f>
        <v/>
      </c>
    </row>
    <row r="156" spans="1:8" x14ac:dyDescent="0.3">
      <c r="A156" s="4">
        <f t="shared" si="3"/>
        <v>45818</v>
      </c>
      <c r="B156" t="s">
        <v>36</v>
      </c>
      <c r="D156" s="1">
        <v>1</v>
      </c>
      <c r="E156" s="5" t="str">
        <f>_xlfn.IFNA(VLOOKUP(B156,$B:$G,4,0),"")</f>
        <v>台斤</v>
      </c>
      <c r="F156" s="6">
        <f>_xlfn.IFNA(VLOOKUP(B156,$B:$G,5,0),"")</f>
        <v>85</v>
      </c>
      <c r="G156" s="7">
        <f>IFERROR(總表[[#This Row],[數量]]*總表[[#This Row],[單價]],"")</f>
        <v>85</v>
      </c>
      <c r="H156" s="8" t="str">
        <f>IF(A156&lt;&gt;A155,SUMIF(A:A, A156, G:G),"")</f>
        <v/>
      </c>
    </row>
    <row r="157" spans="1:8" x14ac:dyDescent="0.3">
      <c r="A157" s="4">
        <f t="shared" si="3"/>
        <v>45818</v>
      </c>
      <c r="B157" t="s">
        <v>48</v>
      </c>
      <c r="D157" s="1">
        <v>0.5</v>
      </c>
      <c r="E157" s="5" t="str">
        <f>_xlfn.IFNA(VLOOKUP(B157,$B:$G,4,0),"")</f>
        <v>台斤</v>
      </c>
      <c r="F157" s="6">
        <f>_xlfn.IFNA(VLOOKUP(B157,$B:$G,5,0),"")</f>
        <v>140</v>
      </c>
      <c r="G157" s="7">
        <f>IFERROR(總表[[#This Row],[數量]]*總表[[#This Row],[單價]],"")</f>
        <v>70</v>
      </c>
      <c r="H157" s="8" t="str">
        <f>IF(A157&lt;&gt;A156,SUMIF(A:A, A157, G:G),"")</f>
        <v/>
      </c>
    </row>
    <row r="158" spans="1:8" x14ac:dyDescent="0.3">
      <c r="A158" s="4">
        <f t="shared" ref="A158:A174" si="5">IF(B158="","",A157)</f>
        <v>45818</v>
      </c>
      <c r="B158" t="s">
        <v>28</v>
      </c>
      <c r="D158" s="1">
        <v>1</v>
      </c>
      <c r="E158" s="5" t="str">
        <f>_xlfn.IFNA(VLOOKUP(B158,$B:$G,4,0),"")</f>
        <v>台斤</v>
      </c>
      <c r="F158" s="6">
        <f>_xlfn.IFNA(VLOOKUP(B158,$B:$G,5,0),"")</f>
        <v>120</v>
      </c>
      <c r="G158" s="7">
        <f>IFERROR(總表[[#This Row],[數量]]*總表[[#This Row],[單價]],"")</f>
        <v>120</v>
      </c>
      <c r="H158" s="8" t="str">
        <f>IF(A158&lt;&gt;A157,SUMIF(A:A, A158, G:G),"")</f>
        <v/>
      </c>
    </row>
    <row r="159" spans="1:8" x14ac:dyDescent="0.3">
      <c r="A159" s="4">
        <f t="shared" si="5"/>
        <v>45818</v>
      </c>
      <c r="B159" t="s">
        <v>26</v>
      </c>
      <c r="D159" s="1">
        <v>1</v>
      </c>
      <c r="E159" s="5" t="str">
        <f>_xlfn.IFNA(VLOOKUP(B159,$B:$G,4,0),"")</f>
        <v>包</v>
      </c>
      <c r="F159" s="6">
        <f>_xlfn.IFNA(VLOOKUP(B159,$B:$G,5,0),"")</f>
        <v>100</v>
      </c>
      <c r="G159" s="7">
        <f>IFERROR(總表[[#This Row],[數量]]*總表[[#This Row],[單價]],"")</f>
        <v>100</v>
      </c>
      <c r="H159" s="8" t="str">
        <f>IF(A159&lt;&gt;A158,SUMIF(A:A, A159, G:G),"")</f>
        <v/>
      </c>
    </row>
    <row r="160" spans="1:8" x14ac:dyDescent="0.3">
      <c r="A160" s="4">
        <v>45819</v>
      </c>
      <c r="B160" t="s">
        <v>28</v>
      </c>
      <c r="D160" s="1">
        <v>1</v>
      </c>
      <c r="E160" s="5" t="str">
        <f>_xlfn.IFNA(VLOOKUP(B160,$B:$G,4,0),"")</f>
        <v>台斤</v>
      </c>
      <c r="F160" s="6">
        <f>_xlfn.IFNA(VLOOKUP(B160,$B:$G,5,0),"")</f>
        <v>120</v>
      </c>
      <c r="G160" s="7">
        <f>IFERROR(總表[[#This Row],[數量]]*總表[[#This Row],[單價]],"")</f>
        <v>120</v>
      </c>
      <c r="H160" s="8">
        <f>IF(A160&lt;&gt;A159,SUMIF(A:A, A160, G:G),"")</f>
        <v>2975.7</v>
      </c>
    </row>
    <row r="161" spans="1:8" x14ac:dyDescent="0.3">
      <c r="A161" s="4">
        <f t="shared" si="5"/>
        <v>45819</v>
      </c>
      <c r="B161" t="s">
        <v>44</v>
      </c>
      <c r="D161" s="1">
        <v>0.185</v>
      </c>
      <c r="E161" s="5" t="str">
        <f>_xlfn.IFNA(VLOOKUP(B161,$B:$G,4,0),"")</f>
        <v>台斤</v>
      </c>
      <c r="F161" s="6">
        <f>_xlfn.IFNA(VLOOKUP(B161,$B:$G,5,0),"")</f>
        <v>300</v>
      </c>
      <c r="G161" s="7">
        <f>IFERROR(總表[[#This Row],[數量]]*總表[[#This Row],[單價]],"")</f>
        <v>55.5</v>
      </c>
      <c r="H161" s="8" t="str">
        <f>IF(A161&lt;&gt;A160,SUMIF(A:A, A161, G:G),"")</f>
        <v/>
      </c>
    </row>
    <row r="162" spans="1:8" x14ac:dyDescent="0.3">
      <c r="A162" s="4">
        <f t="shared" si="5"/>
        <v>45819</v>
      </c>
      <c r="B162" t="s">
        <v>26</v>
      </c>
      <c r="D162" s="1">
        <v>1</v>
      </c>
      <c r="E162" s="5" t="str">
        <f>_xlfn.IFNA(VLOOKUP(B162,$B:$G,4,0),"")</f>
        <v>包</v>
      </c>
      <c r="F162" s="6">
        <f>_xlfn.IFNA(VLOOKUP(B162,$B:$G,5,0),"")</f>
        <v>100</v>
      </c>
      <c r="G162" s="7">
        <f>IFERROR(總表[[#This Row],[數量]]*總表[[#This Row],[單價]],"")</f>
        <v>100</v>
      </c>
      <c r="H162" s="8" t="str">
        <f>IF(A162&lt;&gt;A161,SUMIF(A:A, A162, G:G),"")</f>
        <v/>
      </c>
    </row>
    <row r="163" spans="1:8" x14ac:dyDescent="0.3">
      <c r="A163" s="4">
        <f t="shared" si="5"/>
        <v>45819</v>
      </c>
      <c r="B163" t="s">
        <v>38</v>
      </c>
      <c r="D163" s="1">
        <v>3</v>
      </c>
      <c r="E163" s="5" t="str">
        <f>_xlfn.IFNA(VLOOKUP(B163,$B:$G,4,0),"")</f>
        <v>盒</v>
      </c>
      <c r="F163" s="6">
        <f>_xlfn.IFNA(VLOOKUP(B163,$B:$G,5,0),"")</f>
        <v>85</v>
      </c>
      <c r="G163" s="7">
        <f>IFERROR(總表[[#This Row],[數量]]*總表[[#This Row],[單價]],"")</f>
        <v>255</v>
      </c>
      <c r="H163" s="8" t="str">
        <f>IF(A163&lt;&gt;A162,SUMIF(A:A, A163, G:G),"")</f>
        <v/>
      </c>
    </row>
    <row r="164" spans="1:8" x14ac:dyDescent="0.3">
      <c r="A164" s="4">
        <f t="shared" si="5"/>
        <v>45819</v>
      </c>
      <c r="B164" t="s">
        <v>30</v>
      </c>
      <c r="D164" s="1">
        <v>3</v>
      </c>
      <c r="E164" s="5" t="str">
        <f>_xlfn.IFNA(VLOOKUP(B164,$B:$G,4,0),"")</f>
        <v>盒</v>
      </c>
      <c r="F164" s="6">
        <f>_xlfn.IFNA(VLOOKUP(B164,$B:$G,5,0),"")</f>
        <v>280</v>
      </c>
      <c r="G164" s="7">
        <f>IFERROR(總表[[#This Row],[數量]]*總表[[#This Row],[單價]],"")</f>
        <v>840</v>
      </c>
      <c r="H164" s="8" t="str">
        <f>IF(A164&lt;&gt;A163,SUMIF(A:A, A164, G:G),"")</f>
        <v/>
      </c>
    </row>
    <row r="165" spans="1:8" x14ac:dyDescent="0.3">
      <c r="A165" s="4">
        <f t="shared" si="5"/>
        <v>45819</v>
      </c>
      <c r="B165" t="s">
        <v>56</v>
      </c>
      <c r="D165" s="1">
        <v>10</v>
      </c>
      <c r="E165" s="5" t="str">
        <f>_xlfn.IFNA(VLOOKUP(B165,$B:$G,4,0),"")</f>
        <v>台斤</v>
      </c>
      <c r="F165" s="6">
        <f>_xlfn.IFNA(VLOOKUP(B165,$B:$G,5,0),"")</f>
        <v>130</v>
      </c>
      <c r="G165" s="7">
        <f>IFERROR(總表[[#This Row],[數量]]*總表[[#This Row],[單價]],"")</f>
        <v>1300</v>
      </c>
      <c r="H165" s="8" t="str">
        <f>IF(A165&lt;&gt;A164,SUMIF(A:A, A165, G:G),"")</f>
        <v/>
      </c>
    </row>
    <row r="166" spans="1:8" x14ac:dyDescent="0.3">
      <c r="A166" s="4">
        <f t="shared" si="5"/>
        <v>45819</v>
      </c>
      <c r="B166" t="s">
        <v>22</v>
      </c>
      <c r="D166" s="1">
        <v>3.88</v>
      </c>
      <c r="E166" s="5" t="str">
        <f>_xlfn.IFNA(VLOOKUP(B166,$B:$G,4,0),"")</f>
        <v>台斤</v>
      </c>
      <c r="F166" s="6">
        <f>_xlfn.IFNA(VLOOKUP(B166,$B:$G,5,0),"")</f>
        <v>40</v>
      </c>
      <c r="G166" s="7">
        <f>IFERROR(總表[[#This Row],[數量]]*總表[[#This Row],[單價]],"")</f>
        <v>155.19999999999999</v>
      </c>
      <c r="H166" s="8" t="str">
        <f>IF(A166&lt;&gt;A165,SUMIF(A:A, A166, G:G),"")</f>
        <v/>
      </c>
    </row>
    <row r="167" spans="1:8" x14ac:dyDescent="0.3">
      <c r="A167" s="4">
        <f t="shared" si="5"/>
        <v>45819</v>
      </c>
      <c r="B167" t="s">
        <v>54</v>
      </c>
      <c r="D167" s="1">
        <v>1</v>
      </c>
      <c r="E167" s="5" t="str">
        <f>_xlfn.IFNA(VLOOKUP(B167,$B:$G,4,0),"")</f>
        <v>包</v>
      </c>
      <c r="F167" s="6">
        <f>_xlfn.IFNA(VLOOKUP(B167,$B:$G,5,0),"")</f>
        <v>150</v>
      </c>
      <c r="G167" s="7">
        <f>IFERROR(總表[[#This Row],[數量]]*總表[[#This Row],[單價]],"")</f>
        <v>150</v>
      </c>
      <c r="H167" s="8" t="str">
        <f>IF(A167&lt;&gt;A166,SUMIF(A:A, A167, G:G),"")</f>
        <v/>
      </c>
    </row>
    <row r="168" spans="1:8" x14ac:dyDescent="0.3">
      <c r="A168" s="4">
        <v>45821</v>
      </c>
      <c r="B168" t="s">
        <v>64</v>
      </c>
      <c r="D168" s="1">
        <v>0.125</v>
      </c>
      <c r="E168" s="5" t="str">
        <f>_xlfn.IFNA(VLOOKUP(B168,$B:$G,4,0),"")</f>
        <v>台斤</v>
      </c>
      <c r="F168" s="6">
        <f>_xlfn.IFNA(VLOOKUP(B168,$B:$G,5,0),"")</f>
        <v>1100</v>
      </c>
      <c r="G168" s="7">
        <f>IFERROR(總表[[#This Row],[數量]]*總表[[#This Row],[單價]],"")</f>
        <v>137.5</v>
      </c>
      <c r="H168" s="8">
        <f>IF(A168&lt;&gt;A167,SUMIF(A:A, A168, G:G),"")</f>
        <v>772.5</v>
      </c>
    </row>
    <row r="169" spans="1:8" x14ac:dyDescent="0.3">
      <c r="A169" s="4">
        <f t="shared" si="5"/>
        <v>45821</v>
      </c>
      <c r="B169" t="s">
        <v>38</v>
      </c>
      <c r="D169" s="1">
        <v>3</v>
      </c>
      <c r="E169" s="5" t="str">
        <f>_xlfn.IFNA(VLOOKUP(B169,$B:$G,4,0),"")</f>
        <v>盒</v>
      </c>
      <c r="F169" s="6">
        <f>_xlfn.IFNA(VLOOKUP(B169,$B:$G,5,0),"")</f>
        <v>85</v>
      </c>
      <c r="G169" s="7">
        <f>IFERROR(總表[[#This Row],[數量]]*總表[[#This Row],[單價]],"")</f>
        <v>255</v>
      </c>
      <c r="H169" s="8" t="str">
        <f>IF(A169&lt;&gt;A168,SUMIF(A:A, A169, G:G),"")</f>
        <v/>
      </c>
    </row>
    <row r="170" spans="1:8" x14ac:dyDescent="0.3">
      <c r="A170" s="4">
        <f t="shared" si="5"/>
        <v>45821</v>
      </c>
      <c r="B170" t="s">
        <v>18</v>
      </c>
      <c r="D170" s="1">
        <v>1.25</v>
      </c>
      <c r="E170" s="5" t="str">
        <f>_xlfn.IFNA(VLOOKUP(B170,$B:$G,4,0),"")</f>
        <v>台斤</v>
      </c>
      <c r="F170" s="6">
        <v>100</v>
      </c>
      <c r="G170" s="7">
        <f>IFERROR(總表[[#This Row],[數量]]*總表[[#This Row],[單價]],"")</f>
        <v>125</v>
      </c>
      <c r="H170" s="8" t="str">
        <f>IF(A170&lt;&gt;A169,SUMIF(A:A, A170, G:G),"")</f>
        <v/>
      </c>
    </row>
    <row r="171" spans="1:8" x14ac:dyDescent="0.3">
      <c r="A171" s="4">
        <f t="shared" si="5"/>
        <v>45821</v>
      </c>
      <c r="B171" t="s">
        <v>20</v>
      </c>
      <c r="D171" s="1">
        <v>1</v>
      </c>
      <c r="E171" s="5" t="str">
        <f>_xlfn.IFNA(VLOOKUP(B171,$B:$G,4,0),"")</f>
        <v>台斤</v>
      </c>
      <c r="F171" s="6">
        <v>100</v>
      </c>
      <c r="G171" s="7">
        <f>IFERROR(總表[[#This Row],[數量]]*總表[[#This Row],[單價]],"")</f>
        <v>100</v>
      </c>
      <c r="H171" s="8" t="str">
        <f>IF(A171&lt;&gt;A170,SUMIF(A:A, A171, G:G),"")</f>
        <v/>
      </c>
    </row>
    <row r="172" spans="1:8" x14ac:dyDescent="0.3">
      <c r="A172" s="4">
        <f t="shared" si="5"/>
        <v>45821</v>
      </c>
      <c r="B172" t="s">
        <v>48</v>
      </c>
      <c r="D172" s="1">
        <v>0.5</v>
      </c>
      <c r="E172" s="5" t="str">
        <f>_xlfn.IFNA(VLOOKUP(B172,$B:$G,4,0),"")</f>
        <v>台斤</v>
      </c>
      <c r="F172" s="6">
        <f>_xlfn.IFNA(VLOOKUP(B172,$B:$G,5,0),"")</f>
        <v>140</v>
      </c>
      <c r="G172" s="7">
        <f>IFERROR(總表[[#This Row],[數量]]*總表[[#This Row],[單價]],"")</f>
        <v>70</v>
      </c>
      <c r="H172" s="8" t="str">
        <f>IF(A172&lt;&gt;A171,SUMIF(A:A, A172, G:G),"")</f>
        <v/>
      </c>
    </row>
    <row r="173" spans="1:8" x14ac:dyDescent="0.3">
      <c r="A173" s="4">
        <f t="shared" si="5"/>
        <v>45821</v>
      </c>
      <c r="B173" t="s">
        <v>36</v>
      </c>
      <c r="D173" s="1">
        <v>1</v>
      </c>
      <c r="E173" s="5" t="str">
        <f>_xlfn.IFNA(VLOOKUP(B173,$B:$G,4,0),"")</f>
        <v>台斤</v>
      </c>
      <c r="F173" s="6">
        <f>_xlfn.IFNA(VLOOKUP(B173,$B:$G,5,0),"")</f>
        <v>85</v>
      </c>
      <c r="G173" s="7">
        <f>IFERROR(總表[[#This Row],[數量]]*總表[[#This Row],[單價]],"")</f>
        <v>85</v>
      </c>
      <c r="H173" s="8" t="str">
        <f>IF(A173&lt;&gt;A172,SUMIF(A:A, A173, G:G),"")</f>
        <v/>
      </c>
    </row>
    <row r="174" spans="1:8" x14ac:dyDescent="0.3">
      <c r="A174" s="4">
        <v>45935</v>
      </c>
      <c r="B174" t="s">
        <v>26</v>
      </c>
      <c r="D174" s="1">
        <v>2</v>
      </c>
      <c r="E174" s="5" t="str">
        <f>_xlfn.IFNA(VLOOKUP(B174,$B:$G,4,0),"")</f>
        <v>包</v>
      </c>
      <c r="F174" s="6">
        <f>_xlfn.IFNA(VLOOKUP(B174,$B:$G,5,0),"")</f>
        <v>100</v>
      </c>
      <c r="G174" s="7">
        <f>IFERROR(總表[[#This Row],[數量]]*總表[[#This Row],[單價]],"")</f>
        <v>200</v>
      </c>
      <c r="H174" s="8">
        <f>IF(A174&lt;&gt;A173,SUMIF(A:A, A174, G:G),"")</f>
        <v>3883.625</v>
      </c>
    </row>
    <row r="175" spans="1:8" x14ac:dyDescent="0.3">
      <c r="A175" s="4">
        <f t="shared" ref="A175:A238" si="6">IF(B175="","",A174)</f>
        <v>45935</v>
      </c>
      <c r="B175" t="s">
        <v>66</v>
      </c>
      <c r="D175" s="1">
        <v>3</v>
      </c>
      <c r="E175" s="5" t="s">
        <v>86</v>
      </c>
      <c r="F175" s="6">
        <v>33</v>
      </c>
      <c r="G175" s="7">
        <f>IFERROR(總表[[#This Row],[數量]]*總表[[#This Row],[單價]],"")</f>
        <v>99</v>
      </c>
      <c r="H175" s="8" t="str">
        <f>IF(A175&lt;&gt;A174,SUMIF(A:A, A175, G:G),"")</f>
        <v/>
      </c>
    </row>
    <row r="176" spans="1:8" x14ac:dyDescent="0.3">
      <c r="A176" s="4">
        <f t="shared" si="6"/>
        <v>45935</v>
      </c>
      <c r="B176" t="s">
        <v>67</v>
      </c>
      <c r="D176" s="1">
        <v>1</v>
      </c>
      <c r="E176" s="5" t="s">
        <v>5</v>
      </c>
      <c r="F176" s="6">
        <v>75</v>
      </c>
      <c r="G176" s="7">
        <f>IFERROR(總表[[#This Row],[數量]]*總表[[#This Row],[單價]],"")</f>
        <v>75</v>
      </c>
      <c r="H176" s="8" t="str">
        <f>IF(A176&lt;&gt;A175,SUMIF(A:A, A176, G:G),"")</f>
        <v/>
      </c>
    </row>
    <row r="177" spans="1:9" x14ac:dyDescent="0.3">
      <c r="A177" s="4">
        <f t="shared" si="6"/>
        <v>45935</v>
      </c>
      <c r="B177" t="s">
        <v>44</v>
      </c>
      <c r="D177" s="1">
        <v>0.185</v>
      </c>
      <c r="E177" s="5" t="str">
        <f>_xlfn.IFNA(VLOOKUP(B177,$B:$G,4,0),"")</f>
        <v>台斤</v>
      </c>
      <c r="F177" s="6">
        <f>_xlfn.IFNA(VLOOKUP(B177,$B:$G,5,0),"")</f>
        <v>300</v>
      </c>
      <c r="G177" s="7">
        <f>IFERROR(總表[[#This Row],[數量]]*總表[[#This Row],[單價]],"")</f>
        <v>55.5</v>
      </c>
      <c r="H177" s="8" t="str">
        <f>IF(A177&lt;&gt;A176,SUMIF(A:A, A177, G:G),"")</f>
        <v/>
      </c>
    </row>
    <row r="178" spans="1:9" x14ac:dyDescent="0.3">
      <c r="A178" s="4">
        <f t="shared" si="6"/>
        <v>45935</v>
      </c>
      <c r="B178" t="s">
        <v>15</v>
      </c>
      <c r="D178" s="1">
        <v>0.15</v>
      </c>
      <c r="E178" s="5" t="str">
        <f>_xlfn.IFNA(VLOOKUP(B178,$B:$G,4,0),"")</f>
        <v>台斤</v>
      </c>
      <c r="F178" s="6">
        <f>_xlfn.IFNA(VLOOKUP(B178,$B:$G,5,0),"")</f>
        <v>100</v>
      </c>
      <c r="G178" s="7">
        <f>IFERROR(總表[[#This Row],[數量]]*總表[[#This Row],[單價]],"")</f>
        <v>15</v>
      </c>
      <c r="H178" s="8" t="str">
        <f>IF(A178&lt;&gt;A177,SUMIF(A:A, A178, G:G),"")</f>
        <v/>
      </c>
    </row>
    <row r="179" spans="1:9" x14ac:dyDescent="0.3">
      <c r="A179" s="4">
        <f t="shared" si="6"/>
        <v>45935</v>
      </c>
      <c r="B179" t="s">
        <v>34</v>
      </c>
      <c r="D179" s="1">
        <v>2.125</v>
      </c>
      <c r="E179" s="5" t="str">
        <f>_xlfn.IFNA(VLOOKUP(B179,$B:$G,4,0),"")</f>
        <v>台斤</v>
      </c>
      <c r="F179" s="6">
        <v>185</v>
      </c>
      <c r="G179" s="7">
        <f>IFERROR(總表[[#This Row],[數量]]*總表[[#This Row],[單價]],"")</f>
        <v>393.125</v>
      </c>
      <c r="H179" s="8" t="str">
        <f>IF(A179&lt;&gt;A178,SUMIF(A:A, A179, G:G),"")</f>
        <v/>
      </c>
    </row>
    <row r="180" spans="1:9" x14ac:dyDescent="0.3">
      <c r="A180" s="4">
        <f t="shared" si="6"/>
        <v>45935</v>
      </c>
      <c r="B180" t="s">
        <v>16</v>
      </c>
      <c r="D180" s="1">
        <v>1</v>
      </c>
      <c r="E180" s="5" t="str">
        <f>_xlfn.IFNA(VLOOKUP(B180,$B:$G,4,0),"")</f>
        <v>台斤</v>
      </c>
      <c r="F180" s="6">
        <v>140</v>
      </c>
      <c r="G180" s="7">
        <f>IFERROR(總表[[#This Row],[數量]]*總表[[#This Row],[單價]],"")</f>
        <v>140</v>
      </c>
      <c r="H180" s="8" t="str">
        <f>IF(A180&lt;&gt;A179,SUMIF(A:A, A180, G:G),"")</f>
        <v/>
      </c>
    </row>
    <row r="181" spans="1:9" x14ac:dyDescent="0.3">
      <c r="A181" s="4">
        <f t="shared" si="6"/>
        <v>45935</v>
      </c>
      <c r="B181" t="s">
        <v>58</v>
      </c>
      <c r="D181" s="1">
        <v>4</v>
      </c>
      <c r="E181" s="5" t="str">
        <f>_xlfn.IFNA(VLOOKUP(B181,$B:$G,4,0),"")</f>
        <v>盒</v>
      </c>
      <c r="F181" s="6">
        <v>82</v>
      </c>
      <c r="G181" s="7">
        <f>IFERROR(總表[[#This Row],[數量]]*總表[[#This Row],[單價]],"")</f>
        <v>328</v>
      </c>
      <c r="H181" s="8" t="str">
        <f>IF(A181&lt;&gt;A180,SUMIF(A:A, A181, G:G),"")</f>
        <v/>
      </c>
    </row>
    <row r="182" spans="1:9" x14ac:dyDescent="0.3">
      <c r="A182" s="4">
        <f t="shared" si="6"/>
        <v>45935</v>
      </c>
      <c r="B182" t="s">
        <v>24</v>
      </c>
      <c r="D182" s="1">
        <v>1</v>
      </c>
      <c r="E182" s="5" t="str">
        <f>_xlfn.IFNA(VLOOKUP(B182,$B:$G,4,0),"")</f>
        <v>台斤</v>
      </c>
      <c r="F182" s="6">
        <f>_xlfn.IFNA(VLOOKUP(B182,$B:$G,5,0),"")</f>
        <v>155</v>
      </c>
      <c r="G182" s="7">
        <f>IFERROR(總表[[#This Row],[數量]]*總表[[#This Row],[單價]],"")</f>
        <v>155</v>
      </c>
      <c r="H182" s="8" t="str">
        <f>IF(A182&lt;&gt;A181,SUMIF(A:A, A182, G:G),"")</f>
        <v/>
      </c>
    </row>
    <row r="183" spans="1:9" x14ac:dyDescent="0.3">
      <c r="A183" s="4">
        <f t="shared" si="6"/>
        <v>45935</v>
      </c>
      <c r="B183" t="s">
        <v>54</v>
      </c>
      <c r="D183" s="1">
        <v>1</v>
      </c>
      <c r="E183" s="5" t="str">
        <f>_xlfn.IFNA(VLOOKUP(B183,$B:$G,4,0),"")</f>
        <v>包</v>
      </c>
      <c r="F183" s="6">
        <f>_xlfn.IFNA(VLOOKUP(B183,$B:$G,5,0),"")</f>
        <v>150</v>
      </c>
      <c r="G183" s="7">
        <f>IFERROR(總表[[#This Row],[數量]]*總表[[#This Row],[單價]],"")</f>
        <v>150</v>
      </c>
      <c r="H183" s="8" t="str">
        <f>IF(A183&lt;&gt;A182,SUMIF(A:A, A183, G:G),"")</f>
        <v/>
      </c>
    </row>
    <row r="184" spans="1:9" x14ac:dyDescent="0.3">
      <c r="A184" s="4">
        <f t="shared" si="6"/>
        <v>45935</v>
      </c>
      <c r="B184" t="s">
        <v>52</v>
      </c>
      <c r="D184" s="1">
        <v>4</v>
      </c>
      <c r="E184" s="5" t="str">
        <f>_xlfn.IFNA(VLOOKUP(B184,$B:$G,4,0),"")</f>
        <v>包</v>
      </c>
      <c r="F184" s="6">
        <f>_xlfn.IFNA(VLOOKUP(B184,$B:$G,5,0),"")</f>
        <v>155</v>
      </c>
      <c r="G184" s="7">
        <f>IFERROR(總表[[#This Row],[數量]]*總表[[#This Row],[單價]],"")</f>
        <v>620</v>
      </c>
      <c r="H184" s="8" t="str">
        <f>IF(A184&lt;&gt;A183,SUMIF(A:A, A184, G:G),"")</f>
        <v/>
      </c>
    </row>
    <row r="185" spans="1:9" x14ac:dyDescent="0.3">
      <c r="A185" s="4">
        <f t="shared" si="6"/>
        <v>45935</v>
      </c>
      <c r="B185" t="s">
        <v>22</v>
      </c>
      <c r="D185" s="1">
        <v>3.5</v>
      </c>
      <c r="E185" s="5" t="str">
        <f>_xlfn.IFNA(VLOOKUP(B185,$B:$G,4,0),"")</f>
        <v>台斤</v>
      </c>
      <c r="F185" s="6">
        <v>38</v>
      </c>
      <c r="G185" s="7">
        <f>IFERROR(總表[[#This Row],[數量]]*總表[[#This Row],[單價]],"")</f>
        <v>133</v>
      </c>
      <c r="H185" s="8" t="str">
        <f>IF(A185&lt;&gt;A184,SUMIF(A:A, A185, G:G),"")</f>
        <v/>
      </c>
    </row>
    <row r="186" spans="1:9" x14ac:dyDescent="0.3">
      <c r="A186" s="4">
        <f t="shared" si="6"/>
        <v>45935</v>
      </c>
      <c r="B186" t="s">
        <v>38</v>
      </c>
      <c r="D186" s="1">
        <v>6</v>
      </c>
      <c r="E186" s="5" t="str">
        <f>_xlfn.IFNA(VLOOKUP(B186,$B:$G,4,0),"")</f>
        <v>盒</v>
      </c>
      <c r="F186" s="6">
        <f>_xlfn.IFNA(VLOOKUP(B186,$B:$G,5,0),"")</f>
        <v>85</v>
      </c>
      <c r="G186" s="7">
        <f>IFERROR(總表[[#This Row],[數量]]*總表[[#This Row],[單價]],"")</f>
        <v>510</v>
      </c>
      <c r="H186" s="8" t="str">
        <f>IF(A186&lt;&gt;A185,SUMIF(A:A, A186, G:G),"")</f>
        <v/>
      </c>
    </row>
    <row r="187" spans="1:9" x14ac:dyDescent="0.3">
      <c r="A187" s="4">
        <f t="shared" si="6"/>
        <v>45935</v>
      </c>
      <c r="B187" t="s">
        <v>36</v>
      </c>
      <c r="D187" s="1">
        <v>1</v>
      </c>
      <c r="E187" s="5" t="str">
        <f>_xlfn.IFNA(VLOOKUP(B187,$B:$G,4,0),"")</f>
        <v>台斤</v>
      </c>
      <c r="F187" s="6">
        <v>95</v>
      </c>
      <c r="G187" s="7">
        <f>IFERROR(總表[[#This Row],[數量]]*總表[[#This Row],[單價]],"")</f>
        <v>95</v>
      </c>
      <c r="H187" s="8" t="str">
        <f>IF(A187&lt;&gt;A186,SUMIF(A:A, A187, G:G),"")</f>
        <v/>
      </c>
    </row>
    <row r="188" spans="1:9" x14ac:dyDescent="0.3">
      <c r="A188" s="4">
        <f t="shared" si="6"/>
        <v>45935</v>
      </c>
      <c r="B188" t="s">
        <v>48</v>
      </c>
      <c r="D188" s="1">
        <v>0.5</v>
      </c>
      <c r="E188" s="5" t="str">
        <f>_xlfn.IFNA(VLOOKUP(B188,$B:$G,4,0),"")</f>
        <v>台斤</v>
      </c>
      <c r="F188" s="6">
        <v>150</v>
      </c>
      <c r="G188" s="7">
        <f>IFERROR(總表[[#This Row],[數量]]*總表[[#This Row],[單價]],"")</f>
        <v>75</v>
      </c>
      <c r="H188" s="8" t="str">
        <f>IF(A188&lt;&gt;A187,SUMIF(A:A, A188, G:G),"")</f>
        <v/>
      </c>
    </row>
    <row r="189" spans="1:9" x14ac:dyDescent="0.3">
      <c r="A189" s="4">
        <f t="shared" si="6"/>
        <v>45935</v>
      </c>
      <c r="B189" t="s">
        <v>30</v>
      </c>
      <c r="D189" s="1">
        <v>3</v>
      </c>
      <c r="E189" s="5" t="str">
        <f>_xlfn.IFNA(VLOOKUP(B189,$B:$G,4,0),"")</f>
        <v>盒</v>
      </c>
      <c r="F189" s="6">
        <f>_xlfn.IFNA(VLOOKUP(B189,$B:$G,5,0),"")</f>
        <v>280</v>
      </c>
      <c r="G189" s="7">
        <f>IFERROR(總表[[#This Row],[數量]]*總表[[#This Row],[單價]],"")</f>
        <v>840</v>
      </c>
      <c r="H189" s="8" t="str">
        <f>IF(A189&lt;&gt;A188,SUMIF(A:A, A189, G:G),"")</f>
        <v/>
      </c>
    </row>
    <row r="190" spans="1:9" x14ac:dyDescent="0.3">
      <c r="A190" s="4">
        <v>45939</v>
      </c>
      <c r="B190" t="s">
        <v>15</v>
      </c>
      <c r="D190" s="1">
        <v>0.25</v>
      </c>
      <c r="E190" s="5" t="str">
        <f>_xlfn.IFNA(VLOOKUP(B190,$B:$G,4,0),"")</f>
        <v>台斤</v>
      </c>
      <c r="F190" s="6">
        <v>80</v>
      </c>
      <c r="G190" s="7">
        <v>21</v>
      </c>
      <c r="H190" s="8">
        <f>IF(A190&lt;&gt;A189,SUMIF(A:A, A190, G:G),"")</f>
        <v>2743.1800000000003</v>
      </c>
      <c r="I190">
        <v>2743</v>
      </c>
    </row>
    <row r="191" spans="1:9" x14ac:dyDescent="0.3">
      <c r="A191" s="4">
        <f t="shared" si="6"/>
        <v>45939</v>
      </c>
      <c r="B191" t="s">
        <v>44</v>
      </c>
      <c r="D191" s="1">
        <v>0.185</v>
      </c>
      <c r="E191" s="5" t="str">
        <f>_xlfn.IFNA(VLOOKUP(B191,$B:$G,4,0),"")</f>
        <v>台斤</v>
      </c>
      <c r="F191" s="6">
        <f>_xlfn.IFNA(VLOOKUP(B191,$B:$G,5,0),"")</f>
        <v>300</v>
      </c>
      <c r="G191" s="7">
        <f>IFERROR(總表[[#This Row],[數量]]*總表[[#This Row],[單價]],"")</f>
        <v>55.5</v>
      </c>
      <c r="H191" s="8" t="str">
        <f>IF(A191&lt;&gt;A190,SUMIF(A:A, A191, G:G),"")</f>
        <v/>
      </c>
    </row>
    <row r="192" spans="1:9" x14ac:dyDescent="0.3">
      <c r="A192" s="4">
        <f t="shared" si="6"/>
        <v>45939</v>
      </c>
      <c r="B192" t="s">
        <v>64</v>
      </c>
      <c r="D192" s="1">
        <v>0.125</v>
      </c>
      <c r="E192" s="5" t="str">
        <f>_xlfn.IFNA(VLOOKUP(B192,$B:$G,4,0),"")</f>
        <v>台斤</v>
      </c>
      <c r="F192" s="6">
        <f>_xlfn.IFNA(VLOOKUP(B192,$B:$G,5,0),"")</f>
        <v>1100</v>
      </c>
      <c r="G192" s="7">
        <f>IFERROR(總表[[#This Row],[數量]]*總表[[#This Row],[單價]],"")</f>
        <v>137.5</v>
      </c>
      <c r="H192" s="8" t="str">
        <f>IF(A192&lt;&gt;A191,SUMIF(A:A, A192, G:G),"")</f>
        <v/>
      </c>
    </row>
    <row r="193" spans="1:9" x14ac:dyDescent="0.3">
      <c r="A193" s="4">
        <f t="shared" si="6"/>
        <v>45939</v>
      </c>
      <c r="B193" t="s">
        <v>38</v>
      </c>
      <c r="D193" s="1">
        <v>5</v>
      </c>
      <c r="E193" s="5" t="str">
        <f>_xlfn.IFNA(VLOOKUP(B193,$B:$G,4,0),"")</f>
        <v>盒</v>
      </c>
      <c r="F193" s="6">
        <f>_xlfn.IFNA(VLOOKUP(B193,$B:$G,5,0),"")</f>
        <v>85</v>
      </c>
      <c r="G193" s="7">
        <f>IFERROR(總表[[#This Row],[數量]]*總表[[#This Row],[單價]],"")</f>
        <v>425</v>
      </c>
      <c r="H193" s="8" t="str">
        <f>IF(A193&lt;&gt;A192,SUMIF(A:A, A193, G:G),"")</f>
        <v/>
      </c>
    </row>
    <row r="194" spans="1:9" x14ac:dyDescent="0.3">
      <c r="A194" s="4">
        <f t="shared" si="6"/>
        <v>45939</v>
      </c>
      <c r="B194" t="s">
        <v>28</v>
      </c>
      <c r="D194" s="1">
        <v>1</v>
      </c>
      <c r="E194" s="5" t="str">
        <f>_xlfn.IFNA(VLOOKUP(B194,$B:$G,4,0),"")</f>
        <v>台斤</v>
      </c>
      <c r="F194" s="6">
        <f>_xlfn.IFNA(VLOOKUP(B194,$B:$G,5,0),"")</f>
        <v>120</v>
      </c>
      <c r="G194" s="7">
        <f>IFERROR(總表[[#This Row],[數量]]*總表[[#This Row],[單價]],"")</f>
        <v>120</v>
      </c>
      <c r="H194" s="8" t="str">
        <f>IF(A194&lt;&gt;A193,SUMIF(A:A, A194, G:G),"")</f>
        <v/>
      </c>
    </row>
    <row r="195" spans="1:9" x14ac:dyDescent="0.3">
      <c r="A195" s="4">
        <f t="shared" si="6"/>
        <v>45939</v>
      </c>
      <c r="B195" t="s">
        <v>22</v>
      </c>
      <c r="D195" s="1">
        <v>3.51</v>
      </c>
      <c r="E195" s="5" t="str">
        <f>_xlfn.IFNA(VLOOKUP(B195,$B:$G,4,0),"")</f>
        <v>台斤</v>
      </c>
      <c r="F195" s="6">
        <v>38</v>
      </c>
      <c r="G195" s="7">
        <f>IFERROR(總表[[#This Row],[數量]]*總表[[#This Row],[單價]],"")</f>
        <v>133.38</v>
      </c>
      <c r="H195" s="8" t="str">
        <f>IF(A195&lt;&gt;A194,SUMIF(A:A, A195, G:G),"")</f>
        <v/>
      </c>
    </row>
    <row r="196" spans="1:9" x14ac:dyDescent="0.3">
      <c r="A196" s="4">
        <f t="shared" si="6"/>
        <v>45939</v>
      </c>
      <c r="B196" t="s">
        <v>24</v>
      </c>
      <c r="D196" s="1">
        <v>2</v>
      </c>
      <c r="E196" s="5" t="str">
        <f>_xlfn.IFNA(VLOOKUP(B196,$B:$G,4,0),"")</f>
        <v>台斤</v>
      </c>
      <c r="F196" s="6">
        <f>_xlfn.IFNA(VLOOKUP(B196,$B:$G,5,0),"")</f>
        <v>155</v>
      </c>
      <c r="G196" s="7">
        <f>IFERROR(總表[[#This Row],[數量]]*總表[[#This Row],[單價]],"")</f>
        <v>310</v>
      </c>
      <c r="H196" s="8" t="str">
        <f>IF(A196&lt;&gt;A195,SUMIF(A:A, A196, G:G),"")</f>
        <v/>
      </c>
    </row>
    <row r="197" spans="1:9" x14ac:dyDescent="0.3">
      <c r="A197" s="4">
        <f t="shared" si="6"/>
        <v>45939</v>
      </c>
      <c r="B197" t="s">
        <v>30</v>
      </c>
      <c r="D197" s="1">
        <v>3</v>
      </c>
      <c r="E197" s="5" t="str">
        <f>_xlfn.IFNA(VLOOKUP(B197,$B:$G,4,0),"")</f>
        <v>盒</v>
      </c>
      <c r="F197" s="6">
        <f>_xlfn.IFNA(VLOOKUP(B197,$B:$G,5,0),"")</f>
        <v>280</v>
      </c>
      <c r="G197" s="7">
        <f>IFERROR(總表[[#This Row],[數量]]*總表[[#This Row],[單價]],"")</f>
        <v>840</v>
      </c>
      <c r="H197" s="8" t="str">
        <f>IF(A197&lt;&gt;A196,SUMIF(A:A, A197, G:G),"")</f>
        <v/>
      </c>
    </row>
    <row r="198" spans="1:9" x14ac:dyDescent="0.3">
      <c r="A198" s="4">
        <f t="shared" si="6"/>
        <v>45939</v>
      </c>
      <c r="B198" t="s">
        <v>18</v>
      </c>
      <c r="D198" s="1">
        <v>2</v>
      </c>
      <c r="E198" s="5" t="str">
        <f>_xlfn.IFNA(VLOOKUP(B198,$B:$G,4,0),"")</f>
        <v>台斤</v>
      </c>
      <c r="F198" s="6">
        <v>140</v>
      </c>
      <c r="G198" s="7">
        <f>IFERROR(總表[[#This Row],[數量]]*總表[[#This Row],[單價]],"")</f>
        <v>280</v>
      </c>
      <c r="H198" s="8" t="str">
        <f>IF(A198&lt;&gt;A197,SUMIF(A:A, A198, G:G),"")</f>
        <v/>
      </c>
    </row>
    <row r="199" spans="1:9" x14ac:dyDescent="0.3">
      <c r="A199" s="4">
        <f t="shared" si="6"/>
        <v>45939</v>
      </c>
      <c r="B199" t="s">
        <v>20</v>
      </c>
      <c r="D199" s="1">
        <v>2</v>
      </c>
      <c r="E199" s="5" t="str">
        <f>_xlfn.IFNA(VLOOKUP(B199,$B:$G,4,0),"")</f>
        <v>台斤</v>
      </c>
      <c r="F199" s="6">
        <v>140</v>
      </c>
      <c r="G199" s="7">
        <f>IFERROR(總表[[#This Row],[數量]]*總表[[#This Row],[單價]],"")</f>
        <v>280</v>
      </c>
      <c r="H199" s="8" t="str">
        <f>IF(A199&lt;&gt;A198,SUMIF(A:A, A199, G:G),"")</f>
        <v/>
      </c>
    </row>
    <row r="200" spans="1:9" x14ac:dyDescent="0.3">
      <c r="A200" s="4">
        <f t="shared" si="6"/>
        <v>45939</v>
      </c>
      <c r="B200" t="s">
        <v>46</v>
      </c>
      <c r="D200" s="1">
        <v>1.2</v>
      </c>
      <c r="E200" s="5" t="str">
        <f>_xlfn.IFNA(VLOOKUP(B200,$B:$G,4,0),"")</f>
        <v>台斤</v>
      </c>
      <c r="F200" s="6">
        <f>_xlfn.IFNA(VLOOKUP(B200,$B:$G,5,0),"")</f>
        <v>40</v>
      </c>
      <c r="G200" s="7">
        <f>IFERROR(總表[[#This Row],[數量]]*總表[[#This Row],[單價]],"")</f>
        <v>48</v>
      </c>
      <c r="H200" s="8" t="str">
        <f>IF(A200&lt;&gt;A199,SUMIF(A:A, A200, G:G),"")</f>
        <v/>
      </c>
    </row>
    <row r="201" spans="1:9" x14ac:dyDescent="0.3">
      <c r="A201" s="4">
        <f t="shared" si="6"/>
        <v>45939</v>
      </c>
      <c r="B201" t="s">
        <v>69</v>
      </c>
      <c r="D201" s="1">
        <v>0.5</v>
      </c>
      <c r="E201" s="5" t="s">
        <v>5</v>
      </c>
      <c r="F201" s="6">
        <v>80</v>
      </c>
      <c r="G201" s="7">
        <f>IFERROR(總表[[#This Row],[數量]]*總表[[#This Row],[單價]],"")</f>
        <v>40</v>
      </c>
      <c r="H201" s="8" t="str">
        <f>IF(A201&lt;&gt;A200,SUMIF(A:A, A201, G:G),"")</f>
        <v/>
      </c>
    </row>
    <row r="202" spans="1:9" x14ac:dyDescent="0.3">
      <c r="A202" s="4">
        <f t="shared" si="6"/>
        <v>45939</v>
      </c>
      <c r="B202" t="s">
        <v>71</v>
      </c>
      <c r="D202" s="1">
        <v>6.3E-2</v>
      </c>
      <c r="E202" s="5" t="s">
        <v>5</v>
      </c>
      <c r="F202" s="6">
        <v>600</v>
      </c>
      <c r="G202" s="7">
        <f>IFERROR(總表[[#This Row],[數量]]*總表[[#This Row],[單價]],"")</f>
        <v>37.799999999999997</v>
      </c>
      <c r="H202" s="8" t="str">
        <f>IF(A202&lt;&gt;A201,SUMIF(A:A, A202, G:G),"")</f>
        <v/>
      </c>
    </row>
    <row r="203" spans="1:9" x14ac:dyDescent="0.3">
      <c r="A203" s="4">
        <f t="shared" si="6"/>
        <v>45939</v>
      </c>
      <c r="B203" t="s">
        <v>73</v>
      </c>
      <c r="D203" s="1">
        <v>6.5000000000000002E-2</v>
      </c>
      <c r="E203" s="5" t="s">
        <v>5</v>
      </c>
      <c r="F203" s="6">
        <v>240</v>
      </c>
      <c r="G203" s="7">
        <v>15</v>
      </c>
      <c r="H203" s="8" t="str">
        <f>IF(A203&lt;&gt;A202,SUMIF(A:A, A203, G:G),"")</f>
        <v/>
      </c>
    </row>
    <row r="204" spans="1:9" x14ac:dyDescent="0.3">
      <c r="A204" s="4">
        <v>45940</v>
      </c>
      <c r="B204" t="s">
        <v>40</v>
      </c>
      <c r="D204" s="1">
        <f t="shared" ref="D203:D266" si="7">_xlfn.IFNA(VLOOKUP(B204,$B:$G,3,0),"")</f>
        <v>15</v>
      </c>
      <c r="E204" s="5" t="str">
        <f>_xlfn.IFNA(VLOOKUP(B204,$B:$G,4,0),"")</f>
        <v>台斤</v>
      </c>
      <c r="F204" s="6">
        <v>135</v>
      </c>
      <c r="G204" s="7">
        <f>IFERROR(總表[[#This Row],[數量]]*總表[[#This Row],[單價]],"")</f>
        <v>2025</v>
      </c>
      <c r="H204" s="8">
        <f>IF(A204&lt;&gt;A203,SUMIF(A:A, A204, G:G),"")</f>
        <v>3492.28</v>
      </c>
      <c r="I204">
        <v>3492</v>
      </c>
    </row>
    <row r="205" spans="1:9" x14ac:dyDescent="0.3">
      <c r="A205" s="4">
        <f t="shared" si="6"/>
        <v>45940</v>
      </c>
      <c r="B205" t="s">
        <v>34</v>
      </c>
      <c r="D205" s="1">
        <v>2.44</v>
      </c>
      <c r="E205" s="5" t="str">
        <f>_xlfn.IFNA(VLOOKUP(B205,$B:$G,4,0),"")</f>
        <v>台斤</v>
      </c>
      <c r="F205" s="6">
        <v>185</v>
      </c>
      <c r="G205" s="7">
        <f>IFERROR(總表[[#This Row],[數量]]*總表[[#This Row],[單價]],"")</f>
        <v>451.4</v>
      </c>
      <c r="H205" s="8" t="str">
        <f>IF(A205&lt;&gt;A204,SUMIF(A:A, A205, G:G),"")</f>
        <v/>
      </c>
    </row>
    <row r="206" spans="1:9" x14ac:dyDescent="0.3">
      <c r="A206" s="4">
        <f t="shared" si="6"/>
        <v>45940</v>
      </c>
      <c r="B206" t="s">
        <v>46</v>
      </c>
      <c r="D206" s="1">
        <v>1.25</v>
      </c>
      <c r="E206" s="5" t="str">
        <f>_xlfn.IFNA(VLOOKUP(B206,$B:$G,4,0),"")</f>
        <v>台斤</v>
      </c>
      <c r="F206" s="6">
        <f>_xlfn.IFNA(VLOOKUP(B206,$B:$G,5,0),"")</f>
        <v>40</v>
      </c>
      <c r="G206" s="7">
        <f>IFERROR(總表[[#This Row],[數量]]*總表[[#This Row],[單價]],"")</f>
        <v>50</v>
      </c>
      <c r="H206" s="8" t="str">
        <f>IF(A206&lt;&gt;A205,SUMIF(A:A, A206, G:G),"")</f>
        <v/>
      </c>
    </row>
    <row r="207" spans="1:9" x14ac:dyDescent="0.3">
      <c r="A207" s="4">
        <f t="shared" si="6"/>
        <v>45940</v>
      </c>
      <c r="B207" t="s">
        <v>72</v>
      </c>
      <c r="D207" s="1">
        <v>6.2E-2</v>
      </c>
      <c r="E207" s="5" t="str">
        <f>_xlfn.IFNA(VLOOKUP(B207,$B:$G,4,0),"")</f>
        <v>台斤</v>
      </c>
      <c r="F207" s="6">
        <f>_xlfn.IFNA(VLOOKUP(B207,$B:$G,5,0),"")</f>
        <v>240</v>
      </c>
      <c r="G207" s="7">
        <f>IFERROR(總表[[#This Row],[數量]]*總表[[#This Row],[單價]],"")</f>
        <v>14.879999999999999</v>
      </c>
      <c r="H207" s="8" t="str">
        <f>IF(A207&lt;&gt;A206,SUMIF(A:A, A207, G:G),"")</f>
        <v/>
      </c>
    </row>
    <row r="208" spans="1:9" x14ac:dyDescent="0.3">
      <c r="A208" s="4">
        <f t="shared" si="6"/>
        <v>45940</v>
      </c>
      <c r="B208" t="s">
        <v>16</v>
      </c>
      <c r="D208" s="1">
        <f t="shared" si="7"/>
        <v>1</v>
      </c>
      <c r="E208" s="5" t="str">
        <f>_xlfn.IFNA(VLOOKUP(B208,$B:$G,4,0),"")</f>
        <v>台斤</v>
      </c>
      <c r="F208" s="6">
        <v>140</v>
      </c>
      <c r="G208" s="7">
        <f>IFERROR(總表[[#This Row],[數量]]*總表[[#This Row],[單價]],"")</f>
        <v>140</v>
      </c>
      <c r="H208" s="8" t="str">
        <f>IF(A208&lt;&gt;A207,SUMIF(A:A, A208, G:G),"")</f>
        <v/>
      </c>
    </row>
    <row r="209" spans="1:9" x14ac:dyDescent="0.3">
      <c r="A209" s="4">
        <f t="shared" si="6"/>
        <v>45940</v>
      </c>
      <c r="B209" t="s">
        <v>38</v>
      </c>
      <c r="D209" s="1">
        <f t="shared" si="7"/>
        <v>3</v>
      </c>
      <c r="E209" s="5" t="str">
        <f>_xlfn.IFNA(VLOOKUP(B209,$B:$G,4,0),"")</f>
        <v>盒</v>
      </c>
      <c r="F209" s="6">
        <f>_xlfn.IFNA(VLOOKUP(B209,$B:$G,5,0),"")</f>
        <v>85</v>
      </c>
      <c r="G209" s="7">
        <f>IFERROR(總表[[#This Row],[數量]]*總表[[#This Row],[單價]],"")</f>
        <v>255</v>
      </c>
      <c r="H209" s="8" t="str">
        <f>IF(A209&lt;&gt;A208,SUMIF(A:A, A209, G:G),"")</f>
        <v/>
      </c>
    </row>
    <row r="210" spans="1:9" x14ac:dyDescent="0.3">
      <c r="A210" s="4">
        <f t="shared" si="6"/>
        <v>45940</v>
      </c>
      <c r="B210" t="s">
        <v>58</v>
      </c>
      <c r="D210" s="1">
        <v>3</v>
      </c>
      <c r="E210" s="5" t="str">
        <f>_xlfn.IFNA(VLOOKUP(B210,$B:$G,4,0),"")</f>
        <v>盒</v>
      </c>
      <c r="F210" s="6">
        <v>82</v>
      </c>
      <c r="G210" s="7">
        <f>IFERROR(總表[[#This Row],[數量]]*總表[[#This Row],[單價]],"")</f>
        <v>246</v>
      </c>
      <c r="H210" s="8" t="str">
        <f>IF(A210&lt;&gt;A209,SUMIF(A:A, A210, G:G),"")</f>
        <v/>
      </c>
    </row>
    <row r="211" spans="1:9" x14ac:dyDescent="0.3">
      <c r="A211" s="4">
        <f t="shared" si="6"/>
        <v>45940</v>
      </c>
      <c r="B211" t="s">
        <v>24</v>
      </c>
      <c r="D211" s="1">
        <f t="shared" si="7"/>
        <v>2</v>
      </c>
      <c r="E211" s="5" t="str">
        <f>_xlfn.IFNA(VLOOKUP(B211,$B:$G,4,0),"")</f>
        <v>台斤</v>
      </c>
      <c r="F211" s="6">
        <f>_xlfn.IFNA(VLOOKUP(B211,$B:$G,5,0),"")</f>
        <v>155</v>
      </c>
      <c r="G211" s="7">
        <f>IFERROR(總表[[#This Row],[數量]]*總表[[#This Row],[單價]],"")</f>
        <v>310</v>
      </c>
      <c r="H211" s="8" t="str">
        <f t="shared" ref="H211:H219" si="8">IF(A211&lt;&gt;A210,SUMIF(A:A, A211, G:G),"")</f>
        <v/>
      </c>
    </row>
    <row r="212" spans="1:9" x14ac:dyDescent="0.3">
      <c r="A212" s="4">
        <v>45941</v>
      </c>
      <c r="B212" t="s">
        <v>26</v>
      </c>
      <c r="D212" s="1">
        <f t="shared" si="7"/>
        <v>1</v>
      </c>
      <c r="E212" s="5" t="str">
        <f>_xlfn.IFNA(VLOOKUP(B212,$B:$G,4,0),"")</f>
        <v>包</v>
      </c>
      <c r="F212" s="6">
        <f>_xlfn.IFNA(VLOOKUP(B212,$B:$G,5,0),"")</f>
        <v>100</v>
      </c>
      <c r="G212" s="7">
        <f>IFERROR(總表[[#This Row],[數量]]*總表[[#This Row],[單價]],"")</f>
        <v>100</v>
      </c>
      <c r="H212" s="8">
        <f t="shared" si="8"/>
        <v>1743.5800000000002</v>
      </c>
      <c r="I212">
        <v>1744</v>
      </c>
    </row>
    <row r="213" spans="1:9" x14ac:dyDescent="0.3">
      <c r="A213" s="4">
        <f t="shared" si="6"/>
        <v>45941</v>
      </c>
      <c r="B213" t="s">
        <v>15</v>
      </c>
      <c r="D213" s="1">
        <f t="shared" si="7"/>
        <v>0.19</v>
      </c>
      <c r="E213" s="5" t="str">
        <f>_xlfn.IFNA(VLOOKUP(B213,$B:$G,4,0),"")</f>
        <v>台斤</v>
      </c>
      <c r="F213" s="6">
        <v>80</v>
      </c>
      <c r="G213" s="7">
        <f>IFERROR(總表[[#This Row],[數量]]*總表[[#This Row],[單價]],"")</f>
        <v>15.2</v>
      </c>
      <c r="H213" s="8" t="str">
        <f t="shared" si="8"/>
        <v/>
      </c>
    </row>
    <row r="214" spans="1:9" x14ac:dyDescent="0.3">
      <c r="A214" s="4">
        <f t="shared" si="6"/>
        <v>45941</v>
      </c>
      <c r="B214" t="s">
        <v>44</v>
      </c>
      <c r="D214" s="1">
        <v>0.185</v>
      </c>
      <c r="E214" s="5" t="str">
        <f>_xlfn.IFNA(VLOOKUP(B214,$B:$G,4,0),"")</f>
        <v>台斤</v>
      </c>
      <c r="F214" s="6">
        <f>_xlfn.IFNA(VLOOKUP(B214,$B:$G,5,0),"")</f>
        <v>300</v>
      </c>
      <c r="G214" s="7">
        <f>IFERROR(總表[[#This Row],[數量]]*總表[[#This Row],[單價]],"")</f>
        <v>55.5</v>
      </c>
      <c r="H214" s="8" t="str">
        <f t="shared" si="8"/>
        <v/>
      </c>
    </row>
    <row r="215" spans="1:9" x14ac:dyDescent="0.3">
      <c r="A215" s="4">
        <f t="shared" si="6"/>
        <v>45941</v>
      </c>
      <c r="B215" t="s">
        <v>56</v>
      </c>
      <c r="D215" s="1">
        <f t="shared" si="7"/>
        <v>10</v>
      </c>
      <c r="E215" s="5" t="str">
        <f>_xlfn.IFNA(VLOOKUP(B215,$B:$G,4,0),"")</f>
        <v>台斤</v>
      </c>
      <c r="F215" s="6">
        <f>_xlfn.IFNA(VLOOKUP(B215,$B:$G,5,0),"")</f>
        <v>130</v>
      </c>
      <c r="G215" s="7">
        <f>IFERROR(總表[[#This Row],[數量]]*總表[[#This Row],[單價]],"")</f>
        <v>1300</v>
      </c>
      <c r="H215" s="8" t="str">
        <f t="shared" si="8"/>
        <v/>
      </c>
    </row>
    <row r="216" spans="1:9" x14ac:dyDescent="0.3">
      <c r="A216" s="4">
        <f t="shared" si="6"/>
        <v>45941</v>
      </c>
      <c r="B216" t="s">
        <v>46</v>
      </c>
      <c r="D216" s="1">
        <v>1.2</v>
      </c>
      <c r="E216" s="5" t="str">
        <f>_xlfn.IFNA(VLOOKUP(B216,$B:$G,4,0),"")</f>
        <v>台斤</v>
      </c>
      <c r="F216" s="6">
        <f>_xlfn.IFNA(VLOOKUP(B216,$B:$G,5,0),"")</f>
        <v>40</v>
      </c>
      <c r="G216" s="7">
        <f>IFERROR(總表[[#This Row],[數量]]*總表[[#This Row],[單價]],"")</f>
        <v>48</v>
      </c>
      <c r="H216" s="8" t="str">
        <f t="shared" si="8"/>
        <v/>
      </c>
    </row>
    <row r="217" spans="1:9" x14ac:dyDescent="0.3">
      <c r="A217" s="4">
        <f t="shared" si="6"/>
        <v>45941</v>
      </c>
      <c r="B217" t="s">
        <v>72</v>
      </c>
      <c r="D217" s="1">
        <v>6.2E-2</v>
      </c>
      <c r="E217" s="5" t="str">
        <f>_xlfn.IFNA(VLOOKUP(B217,$B:$G,4,0),"")</f>
        <v>台斤</v>
      </c>
      <c r="F217" s="6">
        <f>_xlfn.IFNA(VLOOKUP(B217,$B:$G,5,0),"")</f>
        <v>240</v>
      </c>
      <c r="G217" s="7">
        <f>IFERROR(總表[[#This Row],[數量]]*總表[[#This Row],[單價]],"")</f>
        <v>14.879999999999999</v>
      </c>
      <c r="H217" s="8" t="str">
        <f t="shared" si="8"/>
        <v/>
      </c>
    </row>
    <row r="218" spans="1:9" x14ac:dyDescent="0.3">
      <c r="A218" s="4">
        <f t="shared" si="6"/>
        <v>45941</v>
      </c>
      <c r="B218" t="s">
        <v>68</v>
      </c>
      <c r="D218" s="1">
        <f t="shared" si="7"/>
        <v>0.5</v>
      </c>
      <c r="E218" s="5" t="str">
        <f>_xlfn.IFNA(VLOOKUP(B218,$B:$G,4,0),"")</f>
        <v>台斤</v>
      </c>
      <c r="F218" s="6">
        <f>_xlfn.IFNA(VLOOKUP(B218,$B:$G,5,0),"")</f>
        <v>80</v>
      </c>
      <c r="G218" s="7">
        <f>IFERROR(總表[[#This Row],[數量]]*總表[[#This Row],[單價]],"")</f>
        <v>40</v>
      </c>
      <c r="H218" s="8" t="str">
        <f t="shared" si="8"/>
        <v/>
      </c>
    </row>
    <row r="219" spans="1:9" x14ac:dyDescent="0.3">
      <c r="A219" s="4">
        <f t="shared" si="6"/>
        <v>45941</v>
      </c>
      <c r="B219" t="s">
        <v>38</v>
      </c>
      <c r="D219" s="1">
        <v>2</v>
      </c>
      <c r="E219" s="5" t="str">
        <f>_xlfn.IFNA(VLOOKUP(B219,$B:$G,4,0),"")</f>
        <v>盒</v>
      </c>
      <c r="F219" s="6">
        <f>_xlfn.IFNA(VLOOKUP(B219,$B:$G,5,0),"")</f>
        <v>85</v>
      </c>
      <c r="G219" s="7">
        <f>IFERROR(總表[[#This Row],[數量]]*總表[[#This Row],[單價]],"")</f>
        <v>170</v>
      </c>
      <c r="H219" s="8" t="str">
        <f t="shared" si="8"/>
        <v/>
      </c>
    </row>
    <row r="220" spans="1:9" x14ac:dyDescent="0.3">
      <c r="A220" s="4">
        <v>45942</v>
      </c>
      <c r="B220" t="s">
        <v>44</v>
      </c>
      <c r="D220" s="1">
        <v>0.185</v>
      </c>
      <c r="E220" s="5" t="str">
        <f>_xlfn.IFNA(VLOOKUP(B220,$B:$G,4,0),"")</f>
        <v>台斤</v>
      </c>
      <c r="F220" s="6">
        <f>_xlfn.IFNA(VLOOKUP(B220,$B:$G,5,0),"")</f>
        <v>300</v>
      </c>
      <c r="G220" s="7">
        <v>56</v>
      </c>
      <c r="H220" s="8">
        <f>IF(A220&lt;&gt;A219,SUMIF(A:A, A220, G:G),"")</f>
        <v>1325.85</v>
      </c>
      <c r="I220">
        <v>1326</v>
      </c>
    </row>
    <row r="221" spans="1:9" x14ac:dyDescent="0.3">
      <c r="A221" s="4">
        <f t="shared" si="6"/>
        <v>45942</v>
      </c>
      <c r="B221" t="s">
        <v>64</v>
      </c>
      <c r="D221" s="1">
        <v>0.125</v>
      </c>
      <c r="E221" s="5" t="str">
        <f>_xlfn.IFNA(VLOOKUP(B221,$B:$G,4,0),"")</f>
        <v>台斤</v>
      </c>
      <c r="F221" s="6">
        <f>_xlfn.IFNA(VLOOKUP(B221,$B:$G,5,0),"")</f>
        <v>1100</v>
      </c>
      <c r="G221" s="7">
        <v>138</v>
      </c>
      <c r="H221" s="8" t="str">
        <f>IF(A221&lt;&gt;A220,SUMIF(A:A, A221, G:G),"")</f>
        <v/>
      </c>
    </row>
    <row r="222" spans="1:9" x14ac:dyDescent="0.3">
      <c r="A222" s="4">
        <f t="shared" si="6"/>
        <v>45942</v>
      </c>
      <c r="B222" t="s">
        <v>28</v>
      </c>
      <c r="D222" s="1">
        <f t="shared" si="7"/>
        <v>1</v>
      </c>
      <c r="E222" s="5" t="str">
        <f>_xlfn.IFNA(VLOOKUP(B222,$B:$G,4,0),"")</f>
        <v>台斤</v>
      </c>
      <c r="F222" s="6">
        <f>_xlfn.IFNA(VLOOKUP(B222,$B:$G,5,0),"")</f>
        <v>120</v>
      </c>
      <c r="G222" s="7">
        <f>IFERROR(總表[[#This Row],[數量]]*總表[[#This Row],[單價]],"")</f>
        <v>120</v>
      </c>
      <c r="H222" s="8" t="str">
        <f>IF(A222&lt;&gt;A221,SUMIF(A:A, A222, G:G),"")</f>
        <v/>
      </c>
    </row>
    <row r="223" spans="1:9" x14ac:dyDescent="0.3">
      <c r="A223" s="4">
        <f t="shared" si="6"/>
        <v>45942</v>
      </c>
      <c r="B223" t="s">
        <v>42</v>
      </c>
      <c r="D223" s="1">
        <f t="shared" si="7"/>
        <v>1</v>
      </c>
      <c r="E223" s="5" t="str">
        <f>_xlfn.IFNA(VLOOKUP(B223,$B:$G,4,0),"")</f>
        <v>盒</v>
      </c>
      <c r="F223" s="6">
        <v>180</v>
      </c>
      <c r="G223" s="7">
        <f>IFERROR(總表[[#This Row],[數量]]*總表[[#This Row],[單價]],"")</f>
        <v>180</v>
      </c>
      <c r="H223" s="8" t="str">
        <f>IF(A223&lt;&gt;A222,SUMIF(A:A, A223, G:G),"")</f>
        <v/>
      </c>
    </row>
    <row r="224" spans="1:9" x14ac:dyDescent="0.3">
      <c r="A224" s="4">
        <f t="shared" si="6"/>
        <v>45942</v>
      </c>
      <c r="B224" t="s">
        <v>36</v>
      </c>
      <c r="D224" s="1">
        <f t="shared" si="7"/>
        <v>1</v>
      </c>
      <c r="E224" s="5" t="str">
        <f>_xlfn.IFNA(VLOOKUP(B224,$B:$G,4,0),"")</f>
        <v>台斤</v>
      </c>
      <c r="F224" s="6">
        <v>95</v>
      </c>
      <c r="G224" s="7">
        <f>IFERROR(總表[[#This Row],[數量]]*總表[[#This Row],[單價]],"")</f>
        <v>95</v>
      </c>
      <c r="H224" s="8" t="str">
        <f>IF(A224&lt;&gt;A223,SUMIF(A:A, A224, G:G),"")</f>
        <v/>
      </c>
    </row>
    <row r="225" spans="1:9" x14ac:dyDescent="0.3">
      <c r="A225" s="4">
        <f t="shared" si="6"/>
        <v>45942</v>
      </c>
      <c r="B225" t="s">
        <v>48</v>
      </c>
      <c r="D225" s="1">
        <f t="shared" si="7"/>
        <v>0.5</v>
      </c>
      <c r="E225" s="5" t="str">
        <f>_xlfn.IFNA(VLOOKUP(B225,$B:$G,4,0),"")</f>
        <v>台斤</v>
      </c>
      <c r="F225" s="6">
        <v>150</v>
      </c>
      <c r="G225" s="7">
        <f>IFERROR(總表[[#This Row],[數量]]*總表[[#This Row],[單價]],"")</f>
        <v>75</v>
      </c>
      <c r="H225" s="8" t="str">
        <f>IF(A225&lt;&gt;A224,SUMIF(A:A, A225, G:G),"")</f>
        <v/>
      </c>
    </row>
    <row r="226" spans="1:9" x14ac:dyDescent="0.3">
      <c r="A226" s="4">
        <f t="shared" si="6"/>
        <v>45942</v>
      </c>
      <c r="B226" t="s">
        <v>38</v>
      </c>
      <c r="D226" s="1">
        <v>4</v>
      </c>
      <c r="E226" s="5" t="str">
        <f>_xlfn.IFNA(VLOOKUP(B226,$B:$G,4,0),"")</f>
        <v>盒</v>
      </c>
      <c r="F226" s="6">
        <f>_xlfn.IFNA(VLOOKUP(B226,$B:$G,5,0),"")</f>
        <v>85</v>
      </c>
      <c r="G226" s="7">
        <f>IFERROR(總表[[#This Row],[數量]]*總表[[#This Row],[單價]],"")</f>
        <v>340</v>
      </c>
      <c r="H226" s="8" t="str">
        <f>IF(A226&lt;&gt;A225,SUMIF(A:A, A226, G:G),"")</f>
        <v/>
      </c>
    </row>
    <row r="227" spans="1:9" x14ac:dyDescent="0.3">
      <c r="A227" s="4">
        <f t="shared" si="6"/>
        <v>45942</v>
      </c>
      <c r="B227" t="s">
        <v>18</v>
      </c>
      <c r="D227" s="1">
        <v>1.1850000000000001</v>
      </c>
      <c r="E227" s="5" t="str">
        <f>_xlfn.IFNA(VLOOKUP(B227,$B:$G,4,0),"")</f>
        <v>台斤</v>
      </c>
      <c r="F227" s="6">
        <v>130</v>
      </c>
      <c r="G227" s="7">
        <f>IFERROR(總表[[#This Row],[數量]]*總表[[#This Row],[單價]],"")</f>
        <v>154.05000000000001</v>
      </c>
      <c r="H227" s="8" t="str">
        <f>IF(A227&lt;&gt;A226,SUMIF(A:A, A227, G:G),"")</f>
        <v/>
      </c>
    </row>
    <row r="228" spans="1:9" x14ac:dyDescent="0.3">
      <c r="A228" s="4">
        <f t="shared" si="6"/>
        <v>45942</v>
      </c>
      <c r="B228" t="s">
        <v>20</v>
      </c>
      <c r="D228" s="1">
        <f t="shared" si="7"/>
        <v>1</v>
      </c>
      <c r="E228" s="5" t="str">
        <f>_xlfn.IFNA(VLOOKUP(B228,$B:$G,4,0),"")</f>
        <v>台斤</v>
      </c>
      <c r="F228" s="6">
        <v>130</v>
      </c>
      <c r="G228" s="7">
        <f>IFERROR(總表[[#This Row],[數量]]*總表[[#This Row],[單價]],"")</f>
        <v>130</v>
      </c>
      <c r="H228" s="8" t="str">
        <f>IF(A228&lt;&gt;A227,SUMIF(A:A, A228, G:G),"")</f>
        <v/>
      </c>
    </row>
    <row r="229" spans="1:9" x14ac:dyDescent="0.3">
      <c r="A229" s="4">
        <f t="shared" si="6"/>
        <v>45942</v>
      </c>
      <c r="B229" t="s">
        <v>70</v>
      </c>
      <c r="D229" s="1">
        <v>6.3E-2</v>
      </c>
      <c r="E229" s="5" t="str">
        <f>_xlfn.IFNA(VLOOKUP(B229,$B:$G,4,0),"")</f>
        <v>台斤</v>
      </c>
      <c r="F229" s="6">
        <f>_xlfn.IFNA(VLOOKUP(B229,$B:$G,5,0),"")</f>
        <v>600</v>
      </c>
      <c r="G229" s="7">
        <f>IFERROR(總表[[#This Row],[數量]]*總表[[#This Row],[單價]],"")</f>
        <v>37.799999999999997</v>
      </c>
      <c r="H229" s="8" t="str">
        <f>IF(A229&lt;&gt;A228,SUMIF(A:A, A229, G:G),"")</f>
        <v/>
      </c>
    </row>
    <row r="230" spans="1:9" x14ac:dyDescent="0.3">
      <c r="A230" s="4">
        <v>45944</v>
      </c>
      <c r="B230" t="s">
        <v>74</v>
      </c>
      <c r="D230" s="1">
        <v>0.63</v>
      </c>
      <c r="E230" s="5" t="s">
        <v>5</v>
      </c>
      <c r="F230" s="6">
        <v>100</v>
      </c>
      <c r="G230" s="7">
        <f>IFERROR(總表[[#This Row],[數量]]*總表[[#This Row],[單價]],"")</f>
        <v>63</v>
      </c>
      <c r="H230" s="8">
        <f>IF(A230&lt;&gt;A229,SUMIF(A:A, A230, G:G),"")</f>
        <v>1966.9</v>
      </c>
      <c r="I230">
        <v>1967</v>
      </c>
    </row>
    <row r="231" spans="1:9" x14ac:dyDescent="0.3">
      <c r="A231" s="4">
        <f t="shared" si="6"/>
        <v>45944</v>
      </c>
      <c r="B231" t="s">
        <v>75</v>
      </c>
      <c r="D231" s="1">
        <v>0.63</v>
      </c>
      <c r="E231" s="5" t="s">
        <v>5</v>
      </c>
      <c r="F231" s="6">
        <v>80</v>
      </c>
      <c r="G231" s="7">
        <f>IFERROR(總表[[#This Row],[數量]]*總表[[#This Row],[單價]],"")</f>
        <v>50.4</v>
      </c>
      <c r="H231" s="8" t="str">
        <f>IF(A231&lt;&gt;A230,SUMIF(A:A, A231, G:G),"")</f>
        <v/>
      </c>
    </row>
    <row r="232" spans="1:9" x14ac:dyDescent="0.3">
      <c r="A232" s="4">
        <f t="shared" si="6"/>
        <v>45944</v>
      </c>
      <c r="B232" t="s">
        <v>18</v>
      </c>
      <c r="D232" s="1">
        <f t="shared" si="7"/>
        <v>1.1839999999999999</v>
      </c>
      <c r="E232" s="5" t="str">
        <f>_xlfn.IFNA(VLOOKUP(B232,$B:$G,4,0),"")</f>
        <v>台斤</v>
      </c>
      <c r="F232" s="6">
        <v>120</v>
      </c>
      <c r="G232" s="7">
        <v>143</v>
      </c>
      <c r="H232" s="8" t="str">
        <f>IF(A232&lt;&gt;A231,SUMIF(A:A, A232, G:G),"")</f>
        <v/>
      </c>
    </row>
    <row r="233" spans="1:9" x14ac:dyDescent="0.3">
      <c r="A233" s="4">
        <f t="shared" si="6"/>
        <v>45944</v>
      </c>
      <c r="B233" t="s">
        <v>20</v>
      </c>
      <c r="D233" s="1">
        <v>1.1200000000000001</v>
      </c>
      <c r="E233" s="5" t="str">
        <f>_xlfn.IFNA(VLOOKUP(B233,$B:$G,4,0),"")</f>
        <v>台斤</v>
      </c>
      <c r="F233" s="6">
        <v>130</v>
      </c>
      <c r="G233" s="7">
        <f>IFERROR(總表[[#This Row],[數量]]*總表[[#This Row],[單價]],"")</f>
        <v>145.60000000000002</v>
      </c>
      <c r="H233" s="8" t="str">
        <f>IF(A233&lt;&gt;A232,SUMIF(A:A, A233, G:G),"")</f>
        <v/>
      </c>
    </row>
    <row r="234" spans="1:9" x14ac:dyDescent="0.3">
      <c r="A234" s="4">
        <f t="shared" si="6"/>
        <v>45944</v>
      </c>
      <c r="B234" t="s">
        <v>76</v>
      </c>
      <c r="D234" s="1">
        <v>0.188</v>
      </c>
      <c r="E234" s="5" t="s">
        <v>5</v>
      </c>
      <c r="F234" s="6">
        <v>400</v>
      </c>
      <c r="G234" s="7">
        <f>IFERROR(總表[[#This Row],[數量]]*總表[[#This Row],[單價]],"")</f>
        <v>75.2</v>
      </c>
      <c r="H234" s="8" t="str">
        <f>IF(A234&lt;&gt;A233,SUMIF(A:A, A234, G:G),"")</f>
        <v/>
      </c>
    </row>
    <row r="235" spans="1:9" x14ac:dyDescent="0.3">
      <c r="A235" s="4">
        <f t="shared" si="6"/>
        <v>45944</v>
      </c>
      <c r="B235" t="s">
        <v>22</v>
      </c>
      <c r="D235" s="1">
        <v>3.55</v>
      </c>
      <c r="E235" s="5" t="str">
        <f>_xlfn.IFNA(VLOOKUP(B235,$B:$G,4,0),"")</f>
        <v>台斤</v>
      </c>
      <c r="F235" s="6">
        <v>38</v>
      </c>
      <c r="G235" s="7">
        <f>IFERROR(總表[[#This Row],[數量]]*總表[[#This Row],[單價]],"")</f>
        <v>134.9</v>
      </c>
      <c r="H235" s="8" t="str">
        <f>IF(A235&lt;&gt;A234,SUMIF(A:A, A235, G:G),"")</f>
        <v/>
      </c>
    </row>
    <row r="236" spans="1:9" x14ac:dyDescent="0.3">
      <c r="A236" s="4">
        <f t="shared" si="6"/>
        <v>45944</v>
      </c>
      <c r="B236" t="s">
        <v>77</v>
      </c>
      <c r="D236" s="1">
        <v>1</v>
      </c>
      <c r="E236" s="5" t="s">
        <v>5</v>
      </c>
      <c r="F236" s="6">
        <v>55</v>
      </c>
      <c r="G236" s="7">
        <f>IFERROR(總表[[#This Row],[數量]]*總表[[#This Row],[單價]],"")</f>
        <v>55</v>
      </c>
      <c r="H236" s="8" t="str">
        <f>IF(A236&lt;&gt;A235,SUMIF(A:A, A236, G:G),"")</f>
        <v/>
      </c>
    </row>
    <row r="237" spans="1:9" x14ac:dyDescent="0.3">
      <c r="A237" s="4">
        <f t="shared" si="6"/>
        <v>45944</v>
      </c>
      <c r="B237" t="s">
        <v>24</v>
      </c>
      <c r="D237" s="1">
        <v>1</v>
      </c>
      <c r="E237" s="5" t="str">
        <f>_xlfn.IFNA(VLOOKUP(B237,$B:$G,4,0),"")</f>
        <v>台斤</v>
      </c>
      <c r="F237" s="6">
        <v>155</v>
      </c>
      <c r="G237" s="7">
        <f>IFERROR(總表[[#This Row],[數量]]*總表[[#This Row],[單價]],"")</f>
        <v>155</v>
      </c>
      <c r="H237" s="8" t="str">
        <f>IF(A237&lt;&gt;A236,SUMIF(A:A, A237, G:G),"")</f>
        <v/>
      </c>
    </row>
    <row r="238" spans="1:9" x14ac:dyDescent="0.3">
      <c r="A238" s="4">
        <f t="shared" si="6"/>
        <v>45944</v>
      </c>
      <c r="B238" t="s">
        <v>38</v>
      </c>
      <c r="D238" s="1">
        <v>2</v>
      </c>
      <c r="E238" s="5" t="str">
        <f>_xlfn.IFNA(VLOOKUP(B238,$B:$G,4,0),"")</f>
        <v>盒</v>
      </c>
      <c r="F238" s="6">
        <v>85</v>
      </c>
      <c r="G238" s="7">
        <f>IFERROR(總表[[#This Row],[數量]]*總表[[#This Row],[單價]],"")</f>
        <v>170</v>
      </c>
      <c r="H238" s="8" t="str">
        <f>IF(A238&lt;&gt;A237,SUMIF(A:A, A238, G:G),"")</f>
        <v/>
      </c>
    </row>
    <row r="239" spans="1:9" x14ac:dyDescent="0.3">
      <c r="A239" s="4">
        <f t="shared" ref="A239:A302" si="9">IF(B239="","",A238)</f>
        <v>45944</v>
      </c>
      <c r="B239" t="s">
        <v>68</v>
      </c>
      <c r="D239" s="1">
        <v>0.185</v>
      </c>
      <c r="E239" s="5" t="str">
        <f>_xlfn.IFNA(VLOOKUP(B239,$B:$G,4,0),"")</f>
        <v>台斤</v>
      </c>
      <c r="F239" s="6">
        <f>_xlfn.IFNA(VLOOKUP(B239,$B:$G,5,0),"")</f>
        <v>80</v>
      </c>
      <c r="G239" s="7">
        <f>IFERROR(總表[[#This Row],[數量]]*總表[[#This Row],[單價]],"")</f>
        <v>14.8</v>
      </c>
      <c r="H239" s="8" t="str">
        <f>IF(A239&lt;&gt;A238,SUMIF(A:A, A239, G:G),"")</f>
        <v/>
      </c>
    </row>
    <row r="240" spans="1:9" x14ac:dyDescent="0.3">
      <c r="A240" s="4">
        <f t="shared" si="9"/>
        <v>45944</v>
      </c>
      <c r="B240" t="s">
        <v>28</v>
      </c>
      <c r="D240" s="1">
        <f t="shared" si="7"/>
        <v>1</v>
      </c>
      <c r="E240" s="5" t="str">
        <f>_xlfn.IFNA(VLOOKUP(B240,$B:$G,4,0),"")</f>
        <v>台斤</v>
      </c>
      <c r="F240" s="6">
        <f>_xlfn.IFNA(VLOOKUP(B240,$B:$G,5,0),"")</f>
        <v>120</v>
      </c>
      <c r="G240" s="7">
        <f>IFERROR(總表[[#This Row],[數量]]*總表[[#This Row],[單價]],"")</f>
        <v>120</v>
      </c>
      <c r="H240" s="8" t="str">
        <f>IF(A240&lt;&gt;A239,SUMIF(A:A, A240, G:G),"")</f>
        <v/>
      </c>
    </row>
    <row r="241" spans="1:9" x14ac:dyDescent="0.3">
      <c r="A241" s="4">
        <f t="shared" si="9"/>
        <v>45944</v>
      </c>
      <c r="B241" t="s">
        <v>30</v>
      </c>
      <c r="D241" s="1">
        <v>3</v>
      </c>
      <c r="E241" s="5" t="str">
        <f>_xlfn.IFNA(VLOOKUP(B241,$B:$G,4,0),"")</f>
        <v>盒</v>
      </c>
      <c r="F241" s="6">
        <f>_xlfn.IFNA(VLOOKUP(B241,$B:$G,5,0),"")</f>
        <v>280</v>
      </c>
      <c r="G241" s="7">
        <f>IFERROR(總表[[#This Row],[數量]]*總表[[#This Row],[單價]],"")</f>
        <v>840</v>
      </c>
      <c r="H241" s="8" t="str">
        <f>IF(A241&lt;&gt;A240,SUMIF(A:A, A241, G:G),"")</f>
        <v/>
      </c>
    </row>
    <row r="242" spans="1:9" x14ac:dyDescent="0.3">
      <c r="A242" s="4">
        <v>45947</v>
      </c>
      <c r="B242" t="s">
        <v>15</v>
      </c>
      <c r="D242" s="1">
        <v>0.25</v>
      </c>
      <c r="E242" s="5" t="str">
        <f>_xlfn.IFNA(VLOOKUP(B242,$B:$G,4,0),"")</f>
        <v>台斤</v>
      </c>
      <c r="F242" s="6">
        <v>80</v>
      </c>
      <c r="G242" s="7">
        <f>IFERROR(總表[[#This Row],[數量]]*總表[[#This Row],[單價]],"")</f>
        <v>20</v>
      </c>
      <c r="H242" s="8">
        <f>IF(A242&lt;&gt;A241,SUMIF(A:A, A242, G:G),"")</f>
        <v>1142.05</v>
      </c>
      <c r="I242">
        <v>1142</v>
      </c>
    </row>
    <row r="243" spans="1:9" x14ac:dyDescent="0.3">
      <c r="A243" s="4">
        <f t="shared" si="9"/>
        <v>45947</v>
      </c>
      <c r="B243" t="s">
        <v>44</v>
      </c>
      <c r="D243" s="1">
        <f t="shared" si="7"/>
        <v>0.186</v>
      </c>
      <c r="E243" s="5" t="str">
        <f>_xlfn.IFNA(VLOOKUP(B243,$B:$G,4,0),"")</f>
        <v>台斤</v>
      </c>
      <c r="F243" s="6">
        <f>_xlfn.IFNA(VLOOKUP(B243,$B:$G,5,0),"")</f>
        <v>300</v>
      </c>
      <c r="G243" s="7">
        <f>IFERROR(總表[[#This Row],[數量]]*總表[[#This Row],[單價]],"")</f>
        <v>55.8</v>
      </c>
      <c r="H243" s="8" t="str">
        <f>IF(A243&lt;&gt;A242,SUMIF(A:A, A243, G:G),"")</f>
        <v/>
      </c>
    </row>
    <row r="244" spans="1:9" x14ac:dyDescent="0.3">
      <c r="A244" s="4">
        <f t="shared" si="9"/>
        <v>45947</v>
      </c>
      <c r="B244" t="s">
        <v>38</v>
      </c>
      <c r="D244" s="1">
        <v>5</v>
      </c>
      <c r="E244" s="5" t="str">
        <f>_xlfn.IFNA(VLOOKUP(B244,$B:$G,4,0),"")</f>
        <v>盒</v>
      </c>
      <c r="F244" s="6">
        <f>_xlfn.IFNA(VLOOKUP(B244,$B:$G,5,0),"")</f>
        <v>85</v>
      </c>
      <c r="G244" s="7">
        <f>IFERROR(總表[[#This Row],[數量]]*總表[[#This Row],[單價]],"")</f>
        <v>425</v>
      </c>
      <c r="H244" s="8" t="str">
        <f>IF(A244&lt;&gt;A243,SUMIF(A:A, A244, G:G),"")</f>
        <v/>
      </c>
    </row>
    <row r="245" spans="1:9" x14ac:dyDescent="0.3">
      <c r="A245" s="4">
        <f t="shared" si="9"/>
        <v>45947</v>
      </c>
      <c r="B245" t="s">
        <v>32</v>
      </c>
      <c r="D245" s="1">
        <v>0.625</v>
      </c>
      <c r="E245" s="5" t="str">
        <f>_xlfn.IFNA(VLOOKUP(B245,$B:$G,4,0),"")</f>
        <v>台斤</v>
      </c>
      <c r="F245" s="6">
        <f>_xlfn.IFNA(VLOOKUP(B245,$B:$G,5,0),"")</f>
        <v>240</v>
      </c>
      <c r="G245" s="7">
        <f>IFERROR(總表[[#This Row],[數量]]*總表[[#This Row],[單價]],"")</f>
        <v>150</v>
      </c>
      <c r="H245" s="8" t="str">
        <f>IF(A245&lt;&gt;A244,SUMIF(A:A, A245, G:G),"")</f>
        <v/>
      </c>
    </row>
    <row r="246" spans="1:9" x14ac:dyDescent="0.3">
      <c r="A246" s="4">
        <f t="shared" si="9"/>
        <v>45947</v>
      </c>
      <c r="B246" t="s">
        <v>24</v>
      </c>
      <c r="D246" s="1">
        <v>1</v>
      </c>
      <c r="E246" s="5" t="str">
        <f>_xlfn.IFNA(VLOOKUP(B246,$B:$G,4,0),"")</f>
        <v>台斤</v>
      </c>
      <c r="F246" s="6">
        <f>_xlfn.IFNA(VLOOKUP(B246,$B:$G,5,0),"")</f>
        <v>155</v>
      </c>
      <c r="G246" s="7">
        <f>IFERROR(總表[[#This Row],[數量]]*總表[[#This Row],[單價]],"")</f>
        <v>155</v>
      </c>
      <c r="H246" s="8" t="str">
        <f>IF(A246&lt;&gt;A245,SUMIF(A:A, A246, G:G),"")</f>
        <v/>
      </c>
    </row>
    <row r="247" spans="1:9" x14ac:dyDescent="0.3">
      <c r="A247" s="4">
        <f t="shared" si="9"/>
        <v>45947</v>
      </c>
      <c r="B247" t="s">
        <v>26</v>
      </c>
      <c r="D247" s="1">
        <f t="shared" si="7"/>
        <v>1</v>
      </c>
      <c r="E247" s="5" t="str">
        <f>_xlfn.IFNA(VLOOKUP(B247,$B:$G,4,0),"")</f>
        <v>包</v>
      </c>
      <c r="F247" s="6">
        <f>_xlfn.IFNA(VLOOKUP(B247,$B:$G,5,0),"")</f>
        <v>100</v>
      </c>
      <c r="G247" s="7">
        <f>IFERROR(總表[[#This Row],[數量]]*總表[[#This Row],[單價]],"")</f>
        <v>100</v>
      </c>
      <c r="H247" s="8" t="str">
        <f>IF(A247&lt;&gt;A246,SUMIF(A:A, A247, G:G),"")</f>
        <v/>
      </c>
    </row>
    <row r="248" spans="1:9" x14ac:dyDescent="0.3">
      <c r="A248" s="4">
        <f t="shared" si="9"/>
        <v>45947</v>
      </c>
      <c r="B248" t="s">
        <v>18</v>
      </c>
      <c r="D248" s="1">
        <v>1.25</v>
      </c>
      <c r="E248" s="5" t="str">
        <f>_xlfn.IFNA(VLOOKUP(B248,$B:$G,4,0),"")</f>
        <v>台斤</v>
      </c>
      <c r="F248" s="6">
        <v>105</v>
      </c>
      <c r="G248" s="7">
        <f>IFERROR(總表[[#This Row],[數量]]*總表[[#This Row],[單價]],"")</f>
        <v>131.25</v>
      </c>
      <c r="H248" s="8" t="str">
        <f>IF(A248&lt;&gt;A247,SUMIF(A:A, A248, G:G),"")</f>
        <v/>
      </c>
    </row>
    <row r="249" spans="1:9" x14ac:dyDescent="0.3">
      <c r="A249" s="4">
        <f t="shared" si="9"/>
        <v>45947</v>
      </c>
      <c r="B249" t="s">
        <v>20</v>
      </c>
      <c r="D249" s="1">
        <f t="shared" si="7"/>
        <v>1</v>
      </c>
      <c r="E249" s="5" t="str">
        <f>_xlfn.IFNA(VLOOKUP(B249,$B:$G,4,0),"")</f>
        <v>台斤</v>
      </c>
      <c r="F249" s="6">
        <v>105</v>
      </c>
      <c r="G249" s="7">
        <f>IFERROR(總表[[#This Row],[數量]]*總表[[#This Row],[單價]],"")</f>
        <v>105</v>
      </c>
      <c r="H249" s="8" t="str">
        <f>IF(A249&lt;&gt;A248,SUMIF(A:A, A249, G:G),"")</f>
        <v/>
      </c>
    </row>
    <row r="250" spans="1:9" x14ac:dyDescent="0.3">
      <c r="A250" s="4">
        <v>45948</v>
      </c>
      <c r="B250" t="s">
        <v>15</v>
      </c>
      <c r="D250" s="1">
        <v>0.15</v>
      </c>
      <c r="E250" s="5" t="str">
        <f>_xlfn.IFNA(VLOOKUP(B250,$B:$G,4,0),"")</f>
        <v>台斤</v>
      </c>
      <c r="F250" s="6">
        <v>80</v>
      </c>
      <c r="G250" s="7">
        <v>15</v>
      </c>
      <c r="H250" s="8">
        <f>IF(A250&lt;&gt;A249,SUMIF(A:A, A250, G:G),"")</f>
        <v>2583.6</v>
      </c>
      <c r="I250">
        <v>2584</v>
      </c>
    </row>
    <row r="251" spans="1:9" x14ac:dyDescent="0.3">
      <c r="A251" s="4">
        <f t="shared" si="9"/>
        <v>45948</v>
      </c>
      <c r="B251" t="s">
        <v>44</v>
      </c>
      <c r="D251" s="1">
        <f t="shared" si="7"/>
        <v>0.186</v>
      </c>
      <c r="E251" s="5" t="str">
        <f>_xlfn.IFNA(VLOOKUP(B251,$B:$G,4,0),"")</f>
        <v>台斤</v>
      </c>
      <c r="F251" s="6">
        <f>_xlfn.IFNA(VLOOKUP(B251,$B:$G,5,0),"")</f>
        <v>300</v>
      </c>
      <c r="G251" s="7">
        <v>56</v>
      </c>
      <c r="H251" s="8" t="str">
        <f>IF(A251&lt;&gt;A250,SUMIF(A:A, A251, G:G),"")</f>
        <v/>
      </c>
    </row>
    <row r="252" spans="1:9" x14ac:dyDescent="0.3">
      <c r="A252" s="4">
        <f t="shared" si="9"/>
        <v>45948</v>
      </c>
      <c r="B252" t="s">
        <v>38</v>
      </c>
      <c r="D252" s="1">
        <v>5</v>
      </c>
      <c r="E252" s="5" t="str">
        <f>_xlfn.IFNA(VLOOKUP(B252,$B:$G,4,0),"")</f>
        <v>盒</v>
      </c>
      <c r="F252" s="6">
        <f>_xlfn.IFNA(VLOOKUP(B252,$B:$G,5,0),"")</f>
        <v>85</v>
      </c>
      <c r="G252" s="7">
        <f>IFERROR(總表[[#This Row],[數量]]*總表[[#This Row],[單價]],"")</f>
        <v>425</v>
      </c>
      <c r="H252" s="8" t="str">
        <f>IF(A252&lt;&gt;A251,SUMIF(A:A, A252, G:G),"")</f>
        <v/>
      </c>
    </row>
    <row r="253" spans="1:9" x14ac:dyDescent="0.3">
      <c r="A253" s="4">
        <f t="shared" si="9"/>
        <v>45948</v>
      </c>
      <c r="B253" t="s">
        <v>30</v>
      </c>
      <c r="D253" s="1">
        <f t="shared" si="7"/>
        <v>4</v>
      </c>
      <c r="E253" s="5" t="str">
        <f>_xlfn.IFNA(VLOOKUP(B253,$B:$G,4,0),"")</f>
        <v>盒</v>
      </c>
      <c r="F253" s="6">
        <f>_xlfn.IFNA(VLOOKUP(B253,$B:$G,5,0),"")</f>
        <v>280</v>
      </c>
      <c r="G253" s="7">
        <f>IFERROR(總表[[#This Row],[數量]]*總表[[#This Row],[單價]],"")</f>
        <v>1120</v>
      </c>
      <c r="H253" s="8" t="str">
        <f>IF(A253&lt;&gt;A252,SUMIF(A:A, A253, G:G),"")</f>
        <v/>
      </c>
    </row>
    <row r="254" spans="1:9" x14ac:dyDescent="0.3">
      <c r="A254" s="4">
        <f t="shared" si="9"/>
        <v>45948</v>
      </c>
      <c r="B254" t="s">
        <v>58</v>
      </c>
      <c r="D254" s="1">
        <f t="shared" si="7"/>
        <v>4</v>
      </c>
      <c r="E254" s="5" t="str">
        <f>_xlfn.IFNA(VLOOKUP(B254,$B:$G,4,0),"")</f>
        <v>盒</v>
      </c>
      <c r="F254" s="6">
        <v>82</v>
      </c>
      <c r="G254" s="7">
        <f>IFERROR(總表[[#This Row],[數量]]*總表[[#This Row],[單價]],"")</f>
        <v>328</v>
      </c>
      <c r="H254" s="8" t="str">
        <f>IF(A254&lt;&gt;A253,SUMIF(A:A, A254, G:G),"")</f>
        <v/>
      </c>
    </row>
    <row r="255" spans="1:9" x14ac:dyDescent="0.3">
      <c r="A255" s="4">
        <f t="shared" si="9"/>
        <v>45948</v>
      </c>
      <c r="B255" t="s">
        <v>18</v>
      </c>
      <c r="D255" s="1">
        <v>1.0649999999999999</v>
      </c>
      <c r="E255" s="5" t="str">
        <f>_xlfn.IFNA(VLOOKUP(B255,$B:$G,4,0),"")</f>
        <v>台斤</v>
      </c>
      <c r="F255" s="6">
        <v>105</v>
      </c>
      <c r="G255" s="7">
        <v>112</v>
      </c>
      <c r="H255" s="8" t="str">
        <f>IF(A255&lt;&gt;A254,SUMIF(A:A, A255, G:G),"")</f>
        <v/>
      </c>
    </row>
    <row r="256" spans="1:9" x14ac:dyDescent="0.3">
      <c r="A256" s="4">
        <f t="shared" si="9"/>
        <v>45948</v>
      </c>
      <c r="B256" t="s">
        <v>20</v>
      </c>
      <c r="D256" s="1">
        <v>1.1200000000000001</v>
      </c>
      <c r="E256" s="5" t="str">
        <f>_xlfn.IFNA(VLOOKUP(B256,$B:$G,4,0),"")</f>
        <v>台斤</v>
      </c>
      <c r="F256" s="6">
        <v>105</v>
      </c>
      <c r="G256" s="7">
        <f>IFERROR(總表[[#This Row],[數量]]*總表[[#This Row],[單價]],"")</f>
        <v>117.60000000000001</v>
      </c>
      <c r="H256" s="8" t="str">
        <f>IF(A256&lt;&gt;A255,SUMIF(A:A, A256, G:G),"")</f>
        <v/>
      </c>
    </row>
    <row r="257" spans="1:9" x14ac:dyDescent="0.3">
      <c r="A257" s="4">
        <f t="shared" si="9"/>
        <v>45948</v>
      </c>
      <c r="B257" t="s">
        <v>16</v>
      </c>
      <c r="D257" s="1">
        <f t="shared" si="7"/>
        <v>1</v>
      </c>
      <c r="E257" s="5" t="str">
        <f>_xlfn.IFNA(VLOOKUP(B257,$B:$G,4,0),"")</f>
        <v>台斤</v>
      </c>
      <c r="F257" s="6">
        <v>100</v>
      </c>
      <c r="G257" s="7">
        <f>IFERROR(總表[[#This Row],[數量]]*總表[[#This Row],[單價]],"")</f>
        <v>100</v>
      </c>
      <c r="H257" s="8" t="str">
        <f>IF(A257&lt;&gt;A256,SUMIF(A:A, A257, G:G),"")</f>
        <v/>
      </c>
    </row>
    <row r="258" spans="1:9" x14ac:dyDescent="0.3">
      <c r="A258" s="4">
        <f t="shared" si="9"/>
        <v>45948</v>
      </c>
      <c r="B258" t="s">
        <v>24</v>
      </c>
      <c r="D258" s="1">
        <f t="shared" si="7"/>
        <v>2</v>
      </c>
      <c r="E258" s="5" t="str">
        <f>_xlfn.IFNA(VLOOKUP(B258,$B:$G,4,0),"")</f>
        <v>台斤</v>
      </c>
      <c r="F258" s="6">
        <f>_xlfn.IFNA(VLOOKUP(B258,$B:$G,5,0),"")</f>
        <v>155</v>
      </c>
      <c r="G258" s="7">
        <f>IFERROR(總表[[#This Row],[數量]]*總表[[#This Row],[單價]],"")</f>
        <v>310</v>
      </c>
      <c r="H258" s="8" t="str">
        <f>IF(A258&lt;&gt;A257,SUMIF(A:A, A258, G:G),"")</f>
        <v/>
      </c>
    </row>
    <row r="259" spans="1:9" x14ac:dyDescent="0.3">
      <c r="A259" s="4">
        <v>45954</v>
      </c>
      <c r="B259" t="s">
        <v>64</v>
      </c>
      <c r="D259" s="1">
        <v>0.125</v>
      </c>
      <c r="E259" s="5" t="str">
        <f>_xlfn.IFNA(VLOOKUP(B259,$B:$G,4,0),"")</f>
        <v>台斤</v>
      </c>
      <c r="F259" s="6">
        <f>_xlfn.IFNA(VLOOKUP(B259,$B:$G,5,0),"")</f>
        <v>1100</v>
      </c>
      <c r="G259" s="7">
        <v>138</v>
      </c>
      <c r="H259" s="8">
        <f>IF(A259&lt;&gt;A258,SUMIF(A:A, A259, G:G),"")</f>
        <v>5860.68</v>
      </c>
      <c r="I259">
        <v>5861</v>
      </c>
    </row>
    <row r="260" spans="1:9" x14ac:dyDescent="0.3">
      <c r="A260" s="4">
        <f t="shared" si="9"/>
        <v>45954</v>
      </c>
      <c r="B260" t="s">
        <v>58</v>
      </c>
      <c r="D260" s="1">
        <f t="shared" si="7"/>
        <v>4</v>
      </c>
      <c r="E260" s="5" t="str">
        <f>_xlfn.IFNA(VLOOKUP(B260,$B:$G,4,0),"")</f>
        <v>盒</v>
      </c>
      <c r="F260" s="6">
        <v>82</v>
      </c>
      <c r="G260" s="7">
        <v>328</v>
      </c>
      <c r="H260" s="8" t="str">
        <f>IF(A260&lt;&gt;A259,SUMIF(A:A, A260, G:G),"")</f>
        <v/>
      </c>
    </row>
    <row r="261" spans="1:9" x14ac:dyDescent="0.3">
      <c r="A261" s="4">
        <f t="shared" si="9"/>
        <v>45954</v>
      </c>
      <c r="B261" t="s">
        <v>24</v>
      </c>
      <c r="D261" s="1">
        <v>4</v>
      </c>
      <c r="E261" s="5" t="str">
        <f>_xlfn.IFNA(VLOOKUP(B261,$B:$G,4,0),"")</f>
        <v>台斤</v>
      </c>
      <c r="F261" s="6">
        <f>_xlfn.IFNA(VLOOKUP(B261,$B:$G,5,0),"")</f>
        <v>155</v>
      </c>
      <c r="G261" s="7">
        <f>IFERROR(總表[[#This Row],[數量]]*總表[[#This Row],[單價]],"")</f>
        <v>620</v>
      </c>
      <c r="H261" s="8" t="str">
        <f>IF(A261&lt;&gt;A260,SUMIF(A:A, A261, G:G),"")</f>
        <v/>
      </c>
    </row>
    <row r="262" spans="1:9" x14ac:dyDescent="0.3">
      <c r="A262" s="4">
        <f t="shared" si="9"/>
        <v>45954</v>
      </c>
      <c r="B262" t="s">
        <v>62</v>
      </c>
      <c r="D262" s="1">
        <f t="shared" si="7"/>
        <v>10</v>
      </c>
      <c r="E262" s="5" t="str">
        <f>_xlfn.IFNA(VLOOKUP(B262,$B:$G,4,0),"")</f>
        <v>台斤</v>
      </c>
      <c r="F262" s="6">
        <f>_xlfn.IFNA(VLOOKUP(B262,$B:$G,5,0),"")</f>
        <v>340</v>
      </c>
      <c r="G262" s="7">
        <f>IFERROR(總表[[#This Row],[數量]]*總表[[#This Row],[單價]],"")</f>
        <v>3400</v>
      </c>
      <c r="H262" s="8" t="str">
        <f>IF(A262&lt;&gt;A261,SUMIF(A:A, A262, G:G),"")</f>
        <v/>
      </c>
    </row>
    <row r="263" spans="1:9" x14ac:dyDescent="0.3">
      <c r="A263" s="4">
        <f t="shared" si="9"/>
        <v>45954</v>
      </c>
      <c r="B263" t="s">
        <v>18</v>
      </c>
      <c r="D263" s="1">
        <v>2</v>
      </c>
      <c r="E263" s="5" t="str">
        <f>_xlfn.IFNA(VLOOKUP(B263,$B:$G,4,0),"")</f>
        <v>台斤</v>
      </c>
      <c r="F263" s="6">
        <v>110</v>
      </c>
      <c r="G263" s="7">
        <f>IFERROR(總表[[#This Row],[數量]]*總表[[#This Row],[單價]],"")</f>
        <v>220</v>
      </c>
      <c r="H263" s="8" t="str">
        <f>IF(A263&lt;&gt;A262,SUMIF(A:A, A263, G:G),"")</f>
        <v/>
      </c>
    </row>
    <row r="264" spans="1:9" x14ac:dyDescent="0.3">
      <c r="A264" s="4">
        <f t="shared" si="9"/>
        <v>45954</v>
      </c>
      <c r="B264" t="s">
        <v>20</v>
      </c>
      <c r="D264" s="1">
        <v>2</v>
      </c>
      <c r="E264" s="5" t="str">
        <f>_xlfn.IFNA(VLOOKUP(B264,$B:$G,4,0),"")</f>
        <v>台斤</v>
      </c>
      <c r="F264" s="6">
        <v>110</v>
      </c>
      <c r="G264" s="7">
        <f>IFERROR(總表[[#This Row],[數量]]*總表[[#This Row],[單價]],"")</f>
        <v>220</v>
      </c>
      <c r="H264" s="8" t="str">
        <f>IF(A264&lt;&gt;A263,SUMIF(A:A, A264, G:G),"")</f>
        <v/>
      </c>
    </row>
    <row r="265" spans="1:9" x14ac:dyDescent="0.3">
      <c r="A265" s="4">
        <f t="shared" si="9"/>
        <v>45954</v>
      </c>
      <c r="B265" t="s">
        <v>22</v>
      </c>
      <c r="D265" s="1">
        <v>2.36</v>
      </c>
      <c r="E265" s="5" t="str">
        <f>_xlfn.IFNA(VLOOKUP(B265,$B:$G,4,0),"")</f>
        <v>台斤</v>
      </c>
      <c r="F265" s="6">
        <v>38</v>
      </c>
      <c r="G265" s="7">
        <f>IFERROR(總表[[#This Row],[數量]]*總表[[#This Row],[單價]],"")</f>
        <v>89.679999999999993</v>
      </c>
      <c r="H265" s="8" t="str">
        <f>IF(A265&lt;&gt;A264,SUMIF(A:A, A265, G:G),"")</f>
        <v/>
      </c>
    </row>
    <row r="266" spans="1:9" x14ac:dyDescent="0.3">
      <c r="A266" s="4">
        <f t="shared" si="9"/>
        <v>45954</v>
      </c>
      <c r="B266" t="s">
        <v>38</v>
      </c>
      <c r="D266" s="1">
        <v>4</v>
      </c>
      <c r="E266" s="5" t="str">
        <f>_xlfn.IFNA(VLOOKUP(B266,$B:$G,4,0),"")</f>
        <v>盒</v>
      </c>
      <c r="F266" s="6">
        <f>_xlfn.IFNA(VLOOKUP(B266,$B:$G,5,0),"")</f>
        <v>85</v>
      </c>
      <c r="G266" s="7">
        <f>IFERROR(總表[[#This Row],[數量]]*總表[[#This Row],[單價]],"")</f>
        <v>340</v>
      </c>
      <c r="H266" s="8" t="str">
        <f>IF(A266&lt;&gt;A265,SUMIF(A:A, A266, G:G),"")</f>
        <v/>
      </c>
    </row>
    <row r="267" spans="1:9" x14ac:dyDescent="0.3">
      <c r="A267" s="4">
        <f t="shared" si="9"/>
        <v>45954</v>
      </c>
      <c r="B267" t="s">
        <v>28</v>
      </c>
      <c r="D267" s="1">
        <f t="shared" ref="D267:D330" si="10">_xlfn.IFNA(VLOOKUP(B267,$B:$G,3,0),"")</f>
        <v>1</v>
      </c>
      <c r="E267" s="5" t="str">
        <f>_xlfn.IFNA(VLOOKUP(B267,$B:$G,4,0),"")</f>
        <v>台斤</v>
      </c>
      <c r="F267" s="6">
        <f>_xlfn.IFNA(VLOOKUP(B267,$B:$G,5,0),"")</f>
        <v>120</v>
      </c>
      <c r="G267" s="7">
        <f>IFERROR(總表[[#This Row],[數量]]*總表[[#This Row],[單價]],"")</f>
        <v>120</v>
      </c>
      <c r="H267" s="8" t="str">
        <f>IF(A267&lt;&gt;A266,SUMIF(A:A, A267, G:G),"")</f>
        <v/>
      </c>
    </row>
    <row r="268" spans="1:9" x14ac:dyDescent="0.3">
      <c r="A268" s="4">
        <f t="shared" si="9"/>
        <v>45954</v>
      </c>
      <c r="B268" t="s">
        <v>16</v>
      </c>
      <c r="D268" s="1">
        <f t="shared" si="10"/>
        <v>1</v>
      </c>
      <c r="E268" s="5" t="str">
        <f>_xlfn.IFNA(VLOOKUP(B268,$B:$G,4,0),"")</f>
        <v>台斤</v>
      </c>
      <c r="F268" s="6">
        <v>100</v>
      </c>
      <c r="G268" s="7">
        <f>IFERROR(總表[[#This Row],[數量]]*總表[[#This Row],[單價]],"")</f>
        <v>100</v>
      </c>
      <c r="H268" s="8" t="str">
        <f>IF(A268&lt;&gt;A267,SUMIF(A:A, A268, G:G),"")</f>
        <v/>
      </c>
    </row>
    <row r="269" spans="1:9" x14ac:dyDescent="0.3">
      <c r="A269" s="4">
        <f t="shared" si="9"/>
        <v>45954</v>
      </c>
      <c r="B269" t="s">
        <v>15</v>
      </c>
      <c r="D269" s="1">
        <v>0.12</v>
      </c>
      <c r="E269" s="5" t="str">
        <f>_xlfn.IFNA(VLOOKUP(B269,$B:$G,4,0),"")</f>
        <v>台斤</v>
      </c>
      <c r="F269" s="6">
        <v>80</v>
      </c>
      <c r="G269" s="7">
        <v>10</v>
      </c>
      <c r="H269" s="8" t="str">
        <f>IF(A269&lt;&gt;A268,SUMIF(A:A, A269, G:G),"")</f>
        <v/>
      </c>
    </row>
    <row r="270" spans="1:9" x14ac:dyDescent="0.3">
      <c r="A270" s="4">
        <f t="shared" si="9"/>
        <v>45954</v>
      </c>
      <c r="B270" t="s">
        <v>26</v>
      </c>
      <c r="D270" s="1">
        <v>2</v>
      </c>
      <c r="E270" s="5" t="str">
        <f>_xlfn.IFNA(VLOOKUP(B270,$B:$G,4,0),"")</f>
        <v>包</v>
      </c>
      <c r="F270" s="6">
        <f>_xlfn.IFNA(VLOOKUP(B270,$B:$G,5,0),"")</f>
        <v>100</v>
      </c>
      <c r="G270" s="7">
        <f>IFERROR(總表[[#This Row],[數量]]*總表[[#This Row],[單價]],"")</f>
        <v>200</v>
      </c>
      <c r="H270" s="8" t="str">
        <f>IF(A270&lt;&gt;A269,SUMIF(A:A, A270, G:G),"")</f>
        <v/>
      </c>
    </row>
    <row r="271" spans="1:9" x14ac:dyDescent="0.3">
      <c r="A271" s="4">
        <f t="shared" si="9"/>
        <v>45954</v>
      </c>
      <c r="B271" t="s">
        <v>44</v>
      </c>
      <c r="D271" s="1">
        <v>0.25</v>
      </c>
      <c r="E271" s="5" t="str">
        <f>_xlfn.IFNA(VLOOKUP(B271,$B:$G,4,0),"")</f>
        <v>台斤</v>
      </c>
      <c r="F271" s="6">
        <f>_xlfn.IFNA(VLOOKUP(B271,$B:$G,5,0),"")</f>
        <v>300</v>
      </c>
      <c r="G271" s="7">
        <f>IFERROR(總表[[#This Row],[數量]]*總表[[#This Row],[單價]],"")</f>
        <v>75</v>
      </c>
      <c r="H271" s="8" t="str">
        <f>IF(A271&lt;&gt;A270,SUMIF(A:A, A271, G:G),"")</f>
        <v/>
      </c>
    </row>
    <row r="272" spans="1:9" x14ac:dyDescent="0.3">
      <c r="A272" s="4">
        <v>45955</v>
      </c>
      <c r="B272" t="s">
        <v>24</v>
      </c>
      <c r="D272" s="1">
        <v>1</v>
      </c>
      <c r="E272" s="5" t="str">
        <f>_xlfn.IFNA(VLOOKUP(B272,$B:$G,4,0),"")</f>
        <v>台斤</v>
      </c>
      <c r="F272" s="6">
        <f>_xlfn.IFNA(VLOOKUP(B272,$B:$G,5,0),"")</f>
        <v>155</v>
      </c>
      <c r="G272" s="7">
        <f>IFERROR(總表[[#This Row],[數量]]*總表[[#This Row],[單價]],"")</f>
        <v>155</v>
      </c>
      <c r="H272" s="8">
        <f>IF(A272&lt;&gt;A271,SUMIF(A:A, A272, G:G),"")</f>
        <v>4019.4800000000005</v>
      </c>
      <c r="I272">
        <v>4019</v>
      </c>
    </row>
    <row r="273" spans="1:9" x14ac:dyDescent="0.3">
      <c r="A273" s="4">
        <f t="shared" si="9"/>
        <v>45955</v>
      </c>
      <c r="B273" t="s">
        <v>26</v>
      </c>
      <c r="D273" s="1">
        <f t="shared" si="10"/>
        <v>1</v>
      </c>
      <c r="E273" s="5" t="str">
        <f>_xlfn.IFNA(VLOOKUP(B273,$B:$G,4,0),"")</f>
        <v>包</v>
      </c>
      <c r="F273" s="6">
        <f>_xlfn.IFNA(VLOOKUP(B273,$B:$G,5,0),"")</f>
        <v>100</v>
      </c>
      <c r="G273" s="7">
        <f>IFERROR(總表[[#This Row],[數量]]*總表[[#This Row],[單價]],"")</f>
        <v>100</v>
      </c>
      <c r="H273" s="8" t="str">
        <f>IF(A273&lt;&gt;A272,SUMIF(A:A, A273, G:G),"")</f>
        <v/>
      </c>
    </row>
    <row r="274" spans="1:9" x14ac:dyDescent="0.3">
      <c r="A274" s="4">
        <f t="shared" si="9"/>
        <v>45955</v>
      </c>
      <c r="B274" t="s">
        <v>15</v>
      </c>
      <c r="D274" s="1">
        <v>0.38</v>
      </c>
      <c r="E274" s="5" t="str">
        <f>_xlfn.IFNA(VLOOKUP(B274,$B:$G,4,0),"")</f>
        <v>台斤</v>
      </c>
      <c r="F274" s="6">
        <v>80</v>
      </c>
      <c r="G274" s="7">
        <f>IFERROR(總表[[#This Row],[數量]]*總表[[#This Row],[單價]],"")</f>
        <v>30.4</v>
      </c>
      <c r="H274" s="8" t="str">
        <f>IF(A274&lt;&gt;A273,SUMIF(A:A, A274, G:G),"")</f>
        <v/>
      </c>
    </row>
    <row r="275" spans="1:9" x14ac:dyDescent="0.3">
      <c r="A275" s="4">
        <f t="shared" si="9"/>
        <v>45955</v>
      </c>
      <c r="B275" t="s">
        <v>44</v>
      </c>
      <c r="D275" s="1">
        <v>0.25</v>
      </c>
      <c r="E275" s="5" t="str">
        <f>_xlfn.IFNA(VLOOKUP(B275,$B:$G,4,0),"")</f>
        <v>台斤</v>
      </c>
      <c r="F275" s="6">
        <f>_xlfn.IFNA(VLOOKUP(B275,$B:$G,5,0),"")</f>
        <v>300</v>
      </c>
      <c r="G275" s="7">
        <f>IFERROR(總表[[#This Row],[數量]]*總表[[#This Row],[單價]],"")</f>
        <v>75</v>
      </c>
      <c r="H275" s="8" t="str">
        <f>IF(A275&lt;&gt;A274,SUMIF(A:A, A275, G:G),"")</f>
        <v/>
      </c>
    </row>
    <row r="276" spans="1:9" x14ac:dyDescent="0.3">
      <c r="A276" s="4">
        <f t="shared" si="9"/>
        <v>45955</v>
      </c>
      <c r="B276" t="s">
        <v>28</v>
      </c>
      <c r="D276" s="1">
        <f t="shared" si="10"/>
        <v>1</v>
      </c>
      <c r="E276" s="5" t="str">
        <f>_xlfn.IFNA(VLOOKUP(B276,$B:$G,4,0),"")</f>
        <v>台斤</v>
      </c>
      <c r="F276" s="6">
        <f>_xlfn.IFNA(VLOOKUP(B276,$B:$G,5,0),"")</f>
        <v>120</v>
      </c>
      <c r="G276" s="7">
        <f>IFERROR(總表[[#This Row],[數量]]*總表[[#This Row],[單價]],"")</f>
        <v>120</v>
      </c>
      <c r="H276" s="8" t="str">
        <f>IF(A276&lt;&gt;A275,SUMIF(A:A, A276, G:G),"")</f>
        <v/>
      </c>
    </row>
    <row r="277" spans="1:9" x14ac:dyDescent="0.3">
      <c r="A277" s="4">
        <f t="shared" si="9"/>
        <v>45955</v>
      </c>
      <c r="B277" t="s">
        <v>34</v>
      </c>
      <c r="D277" s="1">
        <v>2</v>
      </c>
      <c r="E277" s="5" t="str">
        <f>_xlfn.IFNA(VLOOKUP(B277,$B:$G,4,0),"")</f>
        <v>台斤</v>
      </c>
      <c r="F277" s="6">
        <v>200</v>
      </c>
      <c r="G277" s="7">
        <f>IFERROR(總表[[#This Row],[數量]]*總表[[#This Row],[單價]],"")</f>
        <v>400</v>
      </c>
      <c r="H277" s="8" t="str">
        <f>IF(A277&lt;&gt;A276,SUMIF(A:A, A277, G:G),"")</f>
        <v/>
      </c>
    </row>
    <row r="278" spans="1:9" x14ac:dyDescent="0.3">
      <c r="A278" s="4">
        <f t="shared" si="9"/>
        <v>45955</v>
      </c>
      <c r="B278" t="s">
        <v>22</v>
      </c>
      <c r="D278" s="1">
        <v>3.46</v>
      </c>
      <c r="E278" s="5" t="str">
        <f>_xlfn.IFNA(VLOOKUP(B278,$B:$G,4,0),"")</f>
        <v>台斤</v>
      </c>
      <c r="F278" s="6">
        <v>38</v>
      </c>
      <c r="G278" s="7">
        <f>IFERROR(總表[[#This Row],[數量]]*總表[[#This Row],[單價]],"")</f>
        <v>131.47999999999999</v>
      </c>
      <c r="H278" s="8" t="str">
        <f>IF(A278&lt;&gt;A277,SUMIF(A:A, A278, G:G),"")</f>
        <v/>
      </c>
    </row>
    <row r="279" spans="1:9" x14ac:dyDescent="0.3">
      <c r="A279" s="4">
        <f t="shared" si="9"/>
        <v>45955</v>
      </c>
      <c r="B279" t="s">
        <v>16</v>
      </c>
      <c r="D279" s="1">
        <f t="shared" si="10"/>
        <v>1</v>
      </c>
      <c r="E279" s="5" t="str">
        <f>_xlfn.IFNA(VLOOKUP(B279,$B:$G,4,0),"")</f>
        <v>台斤</v>
      </c>
      <c r="F279" s="6">
        <v>100</v>
      </c>
      <c r="G279" s="7">
        <f>IFERROR(總表[[#This Row],[數量]]*總表[[#This Row],[單價]],"")</f>
        <v>100</v>
      </c>
      <c r="H279" s="8" t="str">
        <f>IF(A279&lt;&gt;A278,SUMIF(A:A, A279, G:G),"")</f>
        <v/>
      </c>
    </row>
    <row r="280" spans="1:9" x14ac:dyDescent="0.3">
      <c r="A280" s="4">
        <f t="shared" si="9"/>
        <v>45955</v>
      </c>
      <c r="B280" t="s">
        <v>38</v>
      </c>
      <c r="D280" s="1">
        <v>6</v>
      </c>
      <c r="E280" s="5" t="str">
        <f>_xlfn.IFNA(VLOOKUP(B280,$B:$G,4,0),"")</f>
        <v>盒</v>
      </c>
      <c r="F280" s="6">
        <v>85</v>
      </c>
      <c r="G280" s="7">
        <f>IFERROR(總表[[#This Row],[數量]]*總表[[#This Row],[單價]],"")</f>
        <v>510</v>
      </c>
      <c r="H280" s="8" t="str">
        <f>IF(A280&lt;&gt;A279,SUMIF(A:A, A280, G:G),"")</f>
        <v/>
      </c>
    </row>
    <row r="281" spans="1:9" x14ac:dyDescent="0.3">
      <c r="A281" s="4">
        <f t="shared" si="9"/>
        <v>45955</v>
      </c>
      <c r="B281" t="s">
        <v>30</v>
      </c>
      <c r="D281" s="1">
        <v>3</v>
      </c>
      <c r="E281" s="5" t="str">
        <f>_xlfn.IFNA(VLOOKUP(B281,$B:$G,4,0),"")</f>
        <v>盒</v>
      </c>
      <c r="F281" s="6">
        <v>280</v>
      </c>
      <c r="G281" s="7">
        <f>IFERROR(總表[[#This Row],[數量]]*總表[[#This Row],[單價]],"")</f>
        <v>840</v>
      </c>
      <c r="H281" s="8" t="str">
        <f>IF(A281&lt;&gt;A280,SUMIF(A:A, A281, G:G),"")</f>
        <v/>
      </c>
    </row>
    <row r="282" spans="1:9" x14ac:dyDescent="0.3">
      <c r="A282" s="4">
        <f t="shared" si="9"/>
        <v>45955</v>
      </c>
      <c r="B282" t="s">
        <v>56</v>
      </c>
      <c r="D282" s="1">
        <f t="shared" si="10"/>
        <v>10</v>
      </c>
      <c r="E282" s="5" t="str">
        <f>_xlfn.IFNA(VLOOKUP(B282,$B:$G,4,0),"")</f>
        <v>台斤</v>
      </c>
      <c r="F282" s="6">
        <v>130</v>
      </c>
      <c r="G282" s="7">
        <f>IFERROR(總表[[#This Row],[數量]]*總表[[#This Row],[單價]],"")</f>
        <v>1300</v>
      </c>
      <c r="H282" s="8" t="str">
        <f>IF(A282&lt;&gt;A281,SUMIF(A:A, A282, G:G),"")</f>
        <v/>
      </c>
    </row>
    <row r="283" spans="1:9" x14ac:dyDescent="0.3">
      <c r="A283" s="4">
        <f t="shared" si="9"/>
        <v>45955</v>
      </c>
      <c r="B283" t="s">
        <v>18</v>
      </c>
      <c r="D283" s="1">
        <v>1.1200000000000001</v>
      </c>
      <c r="E283" s="5" t="str">
        <f>_xlfn.IFNA(VLOOKUP(B283,$B:$G,4,0),"")</f>
        <v>台斤</v>
      </c>
      <c r="F283" s="6">
        <v>115</v>
      </c>
      <c r="G283" s="7">
        <f>IFERROR(總表[[#This Row],[數量]]*總表[[#This Row],[單價]],"")</f>
        <v>128.80000000000001</v>
      </c>
      <c r="H283" s="8" t="str">
        <f>IF(A283&lt;&gt;A282,SUMIF(A:A, A283, G:G),"")</f>
        <v/>
      </c>
    </row>
    <row r="284" spans="1:9" x14ac:dyDescent="0.3">
      <c r="A284" s="4">
        <f t="shared" si="9"/>
        <v>45955</v>
      </c>
      <c r="B284" t="s">
        <v>20</v>
      </c>
      <c r="D284" s="1">
        <v>1.1200000000000001</v>
      </c>
      <c r="E284" s="5" t="str">
        <f>_xlfn.IFNA(VLOOKUP(B284,$B:$G,4,0),"")</f>
        <v>台斤</v>
      </c>
      <c r="F284" s="6">
        <v>115</v>
      </c>
      <c r="G284" s="7">
        <f>IFERROR(總表[[#This Row],[數量]]*總表[[#This Row],[單價]],"")</f>
        <v>128.80000000000001</v>
      </c>
      <c r="H284" s="8" t="str">
        <f>IF(A284&lt;&gt;A283,SUMIF(A:A, A284, G:G),"")</f>
        <v/>
      </c>
    </row>
    <row r="285" spans="1:9" x14ac:dyDescent="0.3">
      <c r="A285" s="4">
        <v>45956</v>
      </c>
      <c r="B285" t="s">
        <v>44</v>
      </c>
      <c r="D285" s="1">
        <f t="shared" si="10"/>
        <v>0.186</v>
      </c>
      <c r="E285" s="5" t="str">
        <f>_xlfn.IFNA(VLOOKUP(B285,$B:$G,4,0),"")</f>
        <v>台斤</v>
      </c>
      <c r="F285" s="6">
        <f>_xlfn.IFNA(VLOOKUP(B285,$B:$G,5,0),"")</f>
        <v>300</v>
      </c>
      <c r="G285" s="7">
        <f>IFERROR(總表[[#This Row],[數量]]*總表[[#This Row],[單價]],"")</f>
        <v>55.8</v>
      </c>
      <c r="H285" s="8">
        <f>IF(A285&lt;&gt;A284,SUMIF(A:A, A285, G:G),"")</f>
        <v>5406.84</v>
      </c>
      <c r="I285">
        <v>5407</v>
      </c>
    </row>
    <row r="286" spans="1:9" x14ac:dyDescent="0.3">
      <c r="A286" s="4">
        <f t="shared" si="9"/>
        <v>45956</v>
      </c>
      <c r="B286" t="s">
        <v>28</v>
      </c>
      <c r="D286" s="1">
        <f t="shared" si="10"/>
        <v>1</v>
      </c>
      <c r="E286" s="5" t="str">
        <f>_xlfn.IFNA(VLOOKUP(B286,$B:$G,4,0),"")</f>
        <v>台斤</v>
      </c>
      <c r="F286" s="6">
        <f>_xlfn.IFNA(VLOOKUP(B286,$B:$G,5,0),"")</f>
        <v>120</v>
      </c>
      <c r="G286" s="7">
        <f>IFERROR(總表[[#This Row],[數量]]*總表[[#This Row],[單價]],"")</f>
        <v>120</v>
      </c>
      <c r="H286" s="8" t="str">
        <f>IF(A286&lt;&gt;A285,SUMIF(A:A, A286, G:G),"")</f>
        <v/>
      </c>
    </row>
    <row r="287" spans="1:9" x14ac:dyDescent="0.3">
      <c r="A287" s="4">
        <f t="shared" si="9"/>
        <v>45956</v>
      </c>
      <c r="B287" t="s">
        <v>32</v>
      </c>
      <c r="D287" s="1">
        <v>1.0620000000000001</v>
      </c>
      <c r="E287" s="5" t="str">
        <f>_xlfn.IFNA(VLOOKUP(B287,$B:$G,4,0),"")</f>
        <v>台斤</v>
      </c>
      <c r="F287" s="6">
        <f>_xlfn.IFNA(VLOOKUP(B287,$B:$G,5,0),"")</f>
        <v>240</v>
      </c>
      <c r="G287" s="7">
        <f>IFERROR(總表[[#This Row],[數量]]*總表[[#This Row],[單價]],"")</f>
        <v>254.88000000000002</v>
      </c>
      <c r="H287" s="8" t="str">
        <f>IF(A287&lt;&gt;A286,SUMIF(A:A, A287, G:G),"")</f>
        <v/>
      </c>
    </row>
    <row r="288" spans="1:9" x14ac:dyDescent="0.3">
      <c r="A288" s="4">
        <f t="shared" si="9"/>
        <v>45956</v>
      </c>
      <c r="B288" t="s">
        <v>34</v>
      </c>
      <c r="D288" s="1">
        <v>2.125</v>
      </c>
      <c r="E288" s="5" t="str">
        <f>_xlfn.IFNA(VLOOKUP(B288,$B:$G,4,0),"")</f>
        <v>台斤</v>
      </c>
      <c r="F288" s="6">
        <v>200</v>
      </c>
      <c r="G288" s="7">
        <f>IFERROR(總表[[#This Row],[數量]]*總表[[#This Row],[單價]],"")</f>
        <v>425</v>
      </c>
      <c r="H288" s="8" t="str">
        <f>IF(A288&lt;&gt;A287,SUMIF(A:A, A288, G:G),"")</f>
        <v/>
      </c>
    </row>
    <row r="289" spans="1:9" x14ac:dyDescent="0.3">
      <c r="A289" s="4">
        <f t="shared" si="9"/>
        <v>45956</v>
      </c>
      <c r="B289" t="s">
        <v>38</v>
      </c>
      <c r="D289" s="1">
        <v>6</v>
      </c>
      <c r="E289" s="5" t="str">
        <f>_xlfn.IFNA(VLOOKUP(B289,$B:$G,4,0),"")</f>
        <v>盒</v>
      </c>
      <c r="F289" s="6">
        <f>_xlfn.IFNA(VLOOKUP(B289,$B:$G,5,0),"")</f>
        <v>85</v>
      </c>
      <c r="G289" s="7">
        <f>IFERROR(總表[[#This Row],[數量]]*總表[[#This Row],[單價]],"")</f>
        <v>510</v>
      </c>
      <c r="H289" s="8" t="str">
        <f>IF(A289&lt;&gt;A288,SUMIF(A:A, A289, G:G),"")</f>
        <v/>
      </c>
    </row>
    <row r="290" spans="1:9" x14ac:dyDescent="0.3">
      <c r="A290" s="4">
        <f t="shared" si="9"/>
        <v>45956</v>
      </c>
      <c r="B290" t="s">
        <v>22</v>
      </c>
      <c r="D290" s="1">
        <v>3.32</v>
      </c>
      <c r="E290" s="5" t="str">
        <f>_xlfn.IFNA(VLOOKUP(B290,$B:$G,4,0),"")</f>
        <v>台斤</v>
      </c>
      <c r="F290" s="6">
        <v>38</v>
      </c>
      <c r="G290" s="7">
        <f>IFERROR(總表[[#This Row],[數量]]*總表[[#This Row],[單價]],"")</f>
        <v>126.16</v>
      </c>
      <c r="H290" s="8" t="str">
        <f>IF(A290&lt;&gt;A289,SUMIF(A:A, A290, G:G),"")</f>
        <v/>
      </c>
    </row>
    <row r="291" spans="1:9" x14ac:dyDescent="0.3">
      <c r="A291" s="4">
        <f t="shared" si="9"/>
        <v>45956</v>
      </c>
      <c r="B291" t="s">
        <v>52</v>
      </c>
      <c r="D291" s="1">
        <v>4</v>
      </c>
      <c r="E291" s="5" t="str">
        <f>_xlfn.IFNA(VLOOKUP(B291,$B:$G,4,0),"")</f>
        <v>包</v>
      </c>
      <c r="F291" s="6">
        <f>_xlfn.IFNA(VLOOKUP(B291,$B:$G,5,0),"")</f>
        <v>155</v>
      </c>
      <c r="G291" s="7">
        <f>IFERROR(總表[[#This Row],[數量]]*總表[[#This Row],[單價]],"")</f>
        <v>620</v>
      </c>
      <c r="H291" s="8" t="str">
        <f>IF(A291&lt;&gt;A290,SUMIF(A:A, A291, G:G),"")</f>
        <v/>
      </c>
    </row>
    <row r="292" spans="1:9" x14ac:dyDescent="0.3">
      <c r="A292" s="4">
        <f t="shared" si="9"/>
        <v>45956</v>
      </c>
      <c r="B292" t="s">
        <v>30</v>
      </c>
      <c r="D292" s="1">
        <v>3</v>
      </c>
      <c r="E292" s="5" t="str">
        <f>_xlfn.IFNA(VLOOKUP(B292,$B:$G,4,0),"")</f>
        <v>盒</v>
      </c>
      <c r="F292" s="6">
        <f>_xlfn.IFNA(VLOOKUP(B292,$B:$G,5,0),"")</f>
        <v>280</v>
      </c>
      <c r="G292" s="7">
        <f>IFERROR(總表[[#This Row],[數量]]*總表[[#This Row],[單價]],"")</f>
        <v>840</v>
      </c>
      <c r="H292" s="8" t="str">
        <f>IF(A292&lt;&gt;A291,SUMIF(A:A, A292, G:G),"")</f>
        <v/>
      </c>
    </row>
    <row r="293" spans="1:9" x14ac:dyDescent="0.3">
      <c r="A293" s="4">
        <f t="shared" si="9"/>
        <v>45956</v>
      </c>
      <c r="B293" t="s">
        <v>54</v>
      </c>
      <c r="D293" s="1">
        <f t="shared" si="10"/>
        <v>1</v>
      </c>
      <c r="E293" s="5" t="str">
        <f>_xlfn.IFNA(VLOOKUP(B293,$B:$G,4,0),"")</f>
        <v>包</v>
      </c>
      <c r="F293" s="6">
        <f>_xlfn.IFNA(VLOOKUP(B293,$B:$G,5,0),"")</f>
        <v>150</v>
      </c>
      <c r="G293" s="7">
        <f>IFERROR(總表[[#This Row],[數量]]*總表[[#This Row],[單價]],"")</f>
        <v>150</v>
      </c>
      <c r="H293" s="8" t="str">
        <f>IF(A293&lt;&gt;A292,SUMIF(A:A, A293, G:G),"")</f>
        <v/>
      </c>
    </row>
    <row r="294" spans="1:9" x14ac:dyDescent="0.3">
      <c r="A294" s="4">
        <f t="shared" si="9"/>
        <v>45956</v>
      </c>
      <c r="B294" t="s">
        <v>40</v>
      </c>
      <c r="D294" s="1">
        <f t="shared" si="10"/>
        <v>15</v>
      </c>
      <c r="E294" s="5" t="str">
        <f>_xlfn.IFNA(VLOOKUP(B294,$B:$G,4,0),"")</f>
        <v>台斤</v>
      </c>
      <c r="F294" s="6">
        <v>135</v>
      </c>
      <c r="G294" s="7">
        <f>IFERROR(總表[[#This Row],[數量]]*總表[[#This Row],[單價]],"")</f>
        <v>2025</v>
      </c>
      <c r="H294" s="8" t="str">
        <f>IF(A294&lt;&gt;A293,SUMIF(A:A, A294, G:G),"")</f>
        <v/>
      </c>
    </row>
    <row r="295" spans="1:9" x14ac:dyDescent="0.3">
      <c r="A295" s="4">
        <f t="shared" si="9"/>
        <v>45956</v>
      </c>
      <c r="B295" t="s">
        <v>16</v>
      </c>
      <c r="D295" s="1">
        <f t="shared" si="10"/>
        <v>1</v>
      </c>
      <c r="E295" s="5" t="str">
        <f>_xlfn.IFNA(VLOOKUP(B295,$B:$G,4,0),"")</f>
        <v>台斤</v>
      </c>
      <c r="F295" s="6">
        <v>100</v>
      </c>
      <c r="G295" s="7">
        <f>IFERROR(總表[[#This Row],[數量]]*總表[[#This Row],[單價]],"")</f>
        <v>100</v>
      </c>
      <c r="H295" s="8" t="str">
        <f>IF(A295&lt;&gt;A294,SUMIF(A:A, A295, G:G),"")</f>
        <v/>
      </c>
    </row>
    <row r="296" spans="1:9" x14ac:dyDescent="0.3">
      <c r="A296" s="4">
        <f t="shared" si="9"/>
        <v>45956</v>
      </c>
      <c r="B296" t="s">
        <v>42</v>
      </c>
      <c r="D296" s="1">
        <f t="shared" si="10"/>
        <v>1</v>
      </c>
      <c r="E296" s="5" t="str">
        <f>_xlfn.IFNA(VLOOKUP(B296,$B:$G,4,0),"")</f>
        <v>盒</v>
      </c>
      <c r="F296" s="6">
        <v>180</v>
      </c>
      <c r="G296" s="7">
        <f>IFERROR(總表[[#This Row],[數量]]*總表[[#This Row],[單價]],"")</f>
        <v>180</v>
      </c>
      <c r="H296" s="8" t="str">
        <f>IF(A296&lt;&gt;A295,SUMIF(A:A, A296, G:G),"")</f>
        <v/>
      </c>
    </row>
    <row r="297" spans="1:9" x14ac:dyDescent="0.3">
      <c r="A297" s="4">
        <v>45958</v>
      </c>
      <c r="B297" t="s">
        <v>38</v>
      </c>
      <c r="D297" s="1">
        <v>4</v>
      </c>
      <c r="E297" s="5" t="str">
        <f>_xlfn.IFNA(VLOOKUP(B297,$B:$G,4,0),"")</f>
        <v>盒</v>
      </c>
      <c r="F297" s="6">
        <f>_xlfn.IFNA(VLOOKUP(B297,$B:$G,5,0),"")</f>
        <v>85</v>
      </c>
      <c r="G297" s="7">
        <f>IFERROR(總表[[#This Row],[數量]]*總表[[#This Row],[單價]],"")</f>
        <v>340</v>
      </c>
      <c r="H297" s="8">
        <f>IF(A297&lt;&gt;A296,SUMIF(A:A, A297, G:G),"")</f>
        <v>1890</v>
      </c>
      <c r="I297">
        <v>1890</v>
      </c>
    </row>
    <row r="298" spans="1:9" x14ac:dyDescent="0.3">
      <c r="A298" s="4">
        <f t="shared" si="9"/>
        <v>45958</v>
      </c>
      <c r="B298" t="s">
        <v>79</v>
      </c>
      <c r="D298" s="1">
        <v>6</v>
      </c>
      <c r="E298" s="5" t="s">
        <v>5</v>
      </c>
      <c r="F298" s="6">
        <v>200</v>
      </c>
      <c r="G298" s="7">
        <f>IFERROR(總表[[#This Row],[數量]]*總表[[#This Row],[單價]],"")</f>
        <v>1200</v>
      </c>
      <c r="H298" s="8" t="str">
        <f>IF(A298&lt;&gt;A297,SUMIF(A:A, A298, G:G),"")</f>
        <v/>
      </c>
    </row>
    <row r="299" spans="1:9" x14ac:dyDescent="0.3">
      <c r="A299" s="4">
        <f t="shared" si="9"/>
        <v>45958</v>
      </c>
      <c r="B299" t="s">
        <v>28</v>
      </c>
      <c r="D299" s="1">
        <v>1.5</v>
      </c>
      <c r="E299" s="5" t="str">
        <f>_xlfn.IFNA(VLOOKUP(B299,$B:$G,4,0),"")</f>
        <v>台斤</v>
      </c>
      <c r="F299" s="6">
        <v>160</v>
      </c>
      <c r="G299" s="7">
        <f>IFERROR(總表[[#This Row],[數量]]*總表[[#This Row],[單價]],"")</f>
        <v>240</v>
      </c>
      <c r="H299" s="8" t="str">
        <f>IF(A299&lt;&gt;A298,SUMIF(A:A, A299, G:G),"")</f>
        <v/>
      </c>
    </row>
    <row r="300" spans="1:9" x14ac:dyDescent="0.3">
      <c r="A300" s="4">
        <f t="shared" si="9"/>
        <v>45958</v>
      </c>
      <c r="B300" t="s">
        <v>26</v>
      </c>
      <c r="D300" s="1">
        <f t="shared" si="10"/>
        <v>1</v>
      </c>
      <c r="E300" s="5" t="str">
        <f>_xlfn.IFNA(VLOOKUP(B300,$B:$G,4,0),"")</f>
        <v>包</v>
      </c>
      <c r="F300" s="6">
        <f>_xlfn.IFNA(VLOOKUP(B300,$B:$G,5,0),"")</f>
        <v>100</v>
      </c>
      <c r="G300" s="7">
        <f>IFERROR(總表[[#This Row],[數量]]*總表[[#This Row],[單價]],"")</f>
        <v>100</v>
      </c>
      <c r="H300" s="8" t="str">
        <f>IF(A300&lt;&gt;A299,SUMIF(A:A, A300, G:G),"")</f>
        <v/>
      </c>
    </row>
    <row r="301" spans="1:9" x14ac:dyDescent="0.3">
      <c r="A301" s="4">
        <f t="shared" si="9"/>
        <v>45958</v>
      </c>
      <c r="B301" t="s">
        <v>15</v>
      </c>
      <c r="D301" s="1">
        <v>0.125</v>
      </c>
      <c r="E301" s="5" t="str">
        <f>_xlfn.IFNA(VLOOKUP(B301,$B:$G,4,0),"")</f>
        <v>台斤</v>
      </c>
      <c r="F301" s="6">
        <v>80</v>
      </c>
      <c r="G301" s="7">
        <f>IFERROR(總表[[#This Row],[數量]]*總表[[#This Row],[單價]],"")</f>
        <v>10</v>
      </c>
      <c r="H301" s="8" t="str">
        <f>IF(A301&lt;&gt;A300,SUMIF(A:A, A301, G:G),"")</f>
        <v/>
      </c>
    </row>
    <row r="302" spans="1:9" x14ac:dyDescent="0.3">
      <c r="A302" s="4">
        <v>45959</v>
      </c>
      <c r="B302" t="s">
        <v>15</v>
      </c>
      <c r="D302" s="1">
        <v>0.13</v>
      </c>
      <c r="E302" s="5" t="str">
        <f>_xlfn.IFNA(VLOOKUP(B302,$B:$G,4,0),"")</f>
        <v>台斤</v>
      </c>
      <c r="F302" s="6">
        <v>80</v>
      </c>
      <c r="G302" s="7">
        <f>IFERROR(總表[[#This Row],[數量]]*總表[[#This Row],[單價]],"")</f>
        <v>10.4</v>
      </c>
      <c r="H302" s="8">
        <f>IF(A302&lt;&gt;A301,SUMIF(A:A, A302, G:G),"")</f>
        <v>930.05</v>
      </c>
      <c r="I302">
        <v>930</v>
      </c>
    </row>
    <row r="303" spans="1:9" x14ac:dyDescent="0.3">
      <c r="A303" s="4">
        <f t="shared" ref="A303:A366" si="11">IF(B303="","",A302)</f>
        <v>45959</v>
      </c>
      <c r="B303" t="s">
        <v>44</v>
      </c>
      <c r="D303" s="1">
        <f t="shared" si="10"/>
        <v>0.186</v>
      </c>
      <c r="E303" s="5" t="str">
        <f>_xlfn.IFNA(VLOOKUP(B303,$B:$G,4,0),"")</f>
        <v>台斤</v>
      </c>
      <c r="F303" s="6">
        <f>_xlfn.IFNA(VLOOKUP(B303,$B:$G,5,0),"")</f>
        <v>300</v>
      </c>
      <c r="G303" s="7">
        <f>IFERROR(總表[[#This Row],[數量]]*總表[[#This Row],[單價]],"")</f>
        <v>55.8</v>
      </c>
      <c r="H303" s="8" t="str">
        <f>IF(A303&lt;&gt;A302,SUMIF(A:A, A303, G:G),"")</f>
        <v/>
      </c>
    </row>
    <row r="304" spans="1:9" x14ac:dyDescent="0.3">
      <c r="A304" s="4">
        <f t="shared" si="11"/>
        <v>45959</v>
      </c>
      <c r="B304" t="s">
        <v>18</v>
      </c>
      <c r="D304" s="1">
        <v>1.19</v>
      </c>
      <c r="E304" s="5" t="str">
        <f>_xlfn.IFNA(VLOOKUP(B304,$B:$G,4,0),"")</f>
        <v>台斤</v>
      </c>
      <c r="F304" s="6">
        <v>120</v>
      </c>
      <c r="G304" s="7">
        <f>IFERROR(總表[[#This Row],[數量]]*總表[[#This Row],[單價]],"")</f>
        <v>142.79999999999998</v>
      </c>
      <c r="H304" s="8" t="str">
        <f>IF(A304&lt;&gt;A303,SUMIF(A:A, A304, G:G),"")</f>
        <v/>
      </c>
    </row>
    <row r="305" spans="1:9" x14ac:dyDescent="0.3">
      <c r="A305" s="4">
        <f t="shared" si="11"/>
        <v>45959</v>
      </c>
      <c r="B305" t="s">
        <v>20</v>
      </c>
      <c r="D305" s="1">
        <v>1.07</v>
      </c>
      <c r="E305" s="5" t="str">
        <f>_xlfn.IFNA(VLOOKUP(B305,$B:$G,4,0),"")</f>
        <v>台斤</v>
      </c>
      <c r="F305" s="6">
        <f>_xlfn.IFNA(VLOOKUP(B305,$B:$G,5,0),"")</f>
        <v>120</v>
      </c>
      <c r="G305" s="7">
        <f>IFERROR(總表[[#This Row],[數量]]*總表[[#This Row],[單價]],"")</f>
        <v>128.4</v>
      </c>
      <c r="H305" s="8" t="str">
        <f>IF(A305&lt;&gt;A304,SUMIF(A:A, A305, G:G),"")</f>
        <v/>
      </c>
    </row>
    <row r="306" spans="1:9" x14ac:dyDescent="0.3">
      <c r="A306" s="4">
        <f t="shared" si="11"/>
        <v>45959</v>
      </c>
      <c r="B306" t="s">
        <v>48</v>
      </c>
      <c r="D306" s="1">
        <f t="shared" si="10"/>
        <v>0.5</v>
      </c>
      <c r="E306" s="5" t="str">
        <f>_xlfn.IFNA(VLOOKUP(B306,$B:$G,4,0),"")</f>
        <v>台斤</v>
      </c>
      <c r="F306" s="6">
        <v>150</v>
      </c>
      <c r="G306" s="7">
        <f>IFERROR(總表[[#This Row],[數量]]*總表[[#This Row],[單價]],"")</f>
        <v>75</v>
      </c>
      <c r="H306" s="8" t="str">
        <f>IF(A306&lt;&gt;A305,SUMIF(A:A, A306, G:G),"")</f>
        <v/>
      </c>
    </row>
    <row r="307" spans="1:9" x14ac:dyDescent="0.3">
      <c r="A307" s="4">
        <f t="shared" si="11"/>
        <v>45959</v>
      </c>
      <c r="B307" t="s">
        <v>36</v>
      </c>
      <c r="D307" s="1">
        <f t="shared" si="10"/>
        <v>1</v>
      </c>
      <c r="E307" s="5" t="str">
        <f>_xlfn.IFNA(VLOOKUP(B307,$B:$G,4,0),"")</f>
        <v>台斤</v>
      </c>
      <c r="F307" s="6">
        <v>95</v>
      </c>
      <c r="G307" s="7">
        <f>IFERROR(總表[[#This Row],[數量]]*總表[[#This Row],[單價]],"")</f>
        <v>95</v>
      </c>
      <c r="H307" s="8" t="str">
        <f>IF(A307&lt;&gt;A306,SUMIF(A:A, A307, G:G),"")</f>
        <v/>
      </c>
    </row>
    <row r="308" spans="1:9" x14ac:dyDescent="0.3">
      <c r="A308" s="4">
        <f t="shared" si="11"/>
        <v>45959</v>
      </c>
      <c r="B308" t="s">
        <v>38</v>
      </c>
      <c r="D308" s="1">
        <v>2</v>
      </c>
      <c r="E308" s="5" t="str">
        <f>_xlfn.IFNA(VLOOKUP(B308,$B:$G,4,0),"")</f>
        <v>盒</v>
      </c>
      <c r="F308" s="6">
        <f>_xlfn.IFNA(VLOOKUP(B308,$B:$G,5,0),"")</f>
        <v>85</v>
      </c>
      <c r="G308" s="7">
        <f>IFERROR(總表[[#This Row],[數量]]*總表[[#This Row],[單價]],"")</f>
        <v>170</v>
      </c>
      <c r="H308" s="8" t="str">
        <f>IF(A308&lt;&gt;A307,SUMIF(A:A, A308, G:G),"")</f>
        <v/>
      </c>
    </row>
    <row r="309" spans="1:9" x14ac:dyDescent="0.3">
      <c r="A309" s="4">
        <f t="shared" si="11"/>
        <v>45959</v>
      </c>
      <c r="B309" t="s">
        <v>24</v>
      </c>
      <c r="D309" s="1">
        <v>1</v>
      </c>
      <c r="E309" s="5" t="str">
        <f>_xlfn.IFNA(VLOOKUP(B309,$B:$G,4,0),"")</f>
        <v>台斤</v>
      </c>
      <c r="F309" s="6">
        <f>_xlfn.IFNA(VLOOKUP(B309,$B:$G,5,0),"")</f>
        <v>155</v>
      </c>
      <c r="G309" s="7">
        <f>IFERROR(總表[[#This Row],[數量]]*總表[[#This Row],[單價]],"")</f>
        <v>155</v>
      </c>
      <c r="H309" s="8" t="str">
        <f>IF(A309&lt;&gt;A308,SUMIF(A:A, A309, G:G),"")</f>
        <v/>
      </c>
    </row>
    <row r="310" spans="1:9" x14ac:dyDescent="0.3">
      <c r="A310" s="4">
        <f t="shared" si="11"/>
        <v>45959</v>
      </c>
      <c r="B310" t="s">
        <v>80</v>
      </c>
      <c r="D310" s="1">
        <v>0.93</v>
      </c>
      <c r="E310" s="5" t="s">
        <v>5</v>
      </c>
      <c r="F310" s="6">
        <v>105</v>
      </c>
      <c r="G310" s="7">
        <f>IFERROR(總表[[#This Row],[數量]]*總表[[#This Row],[單價]],"")</f>
        <v>97.65</v>
      </c>
      <c r="H310" s="8" t="str">
        <f>IF(A310&lt;&gt;A309,SUMIF(A:A, A310, G:G),"")</f>
        <v/>
      </c>
    </row>
    <row r="311" spans="1:9" x14ac:dyDescent="0.3">
      <c r="A311" s="4">
        <v>45961</v>
      </c>
      <c r="B311" t="s">
        <v>34</v>
      </c>
      <c r="D311" s="1">
        <f>總表[[#This Row],[金額]]/總表[[#This Row],[單價]]</f>
        <v>2.5</v>
      </c>
      <c r="E311" s="5" t="str">
        <f>_xlfn.IFNA(VLOOKUP(B311,$B:$G,4,0),"")</f>
        <v>台斤</v>
      </c>
      <c r="F311" s="6">
        <v>200</v>
      </c>
      <c r="G311" s="7">
        <v>500</v>
      </c>
      <c r="H311" s="8">
        <f>IF(A311&lt;&gt;A310,SUMIF(A:A, A311, G:G),"")</f>
        <v>2883</v>
      </c>
      <c r="I311">
        <v>2883</v>
      </c>
    </row>
    <row r="312" spans="1:9" x14ac:dyDescent="0.3">
      <c r="A312" s="4">
        <f t="shared" si="11"/>
        <v>45961</v>
      </c>
      <c r="B312" t="s">
        <v>18</v>
      </c>
      <c r="D312" s="1">
        <f>總表[[#This Row],[金額]]/總表[[#This Row],[單價]]</f>
        <v>3.1230769230769231</v>
      </c>
      <c r="E312" s="5" t="str">
        <f>_xlfn.IFNA(VLOOKUP(B312,$B:$G,4,0),"")</f>
        <v>台斤</v>
      </c>
      <c r="F312" s="6">
        <v>130</v>
      </c>
      <c r="G312" s="7">
        <v>406</v>
      </c>
      <c r="H312" s="8" t="str">
        <f>IF(A312&lt;&gt;A311,SUMIF(A:A, A312, G:G),"")</f>
        <v/>
      </c>
    </row>
    <row r="313" spans="1:9" x14ac:dyDescent="0.3">
      <c r="A313" s="4">
        <f t="shared" si="11"/>
        <v>45961</v>
      </c>
      <c r="B313" t="s">
        <v>20</v>
      </c>
      <c r="D313" s="1">
        <f>總表[[#This Row],[金額]]/總表[[#This Row],[單價]]</f>
        <v>3</v>
      </c>
      <c r="E313" s="5" t="str">
        <f>_xlfn.IFNA(VLOOKUP(B313,$B:$G,4,0),"")</f>
        <v>台斤</v>
      </c>
      <c r="F313" s="6">
        <v>130</v>
      </c>
      <c r="G313" s="7">
        <v>390</v>
      </c>
      <c r="H313" s="8" t="str">
        <f>IF(A313&lt;&gt;A312,SUMIF(A:A, A313, G:G),"")</f>
        <v/>
      </c>
    </row>
    <row r="314" spans="1:9" x14ac:dyDescent="0.3">
      <c r="A314" s="4">
        <f t="shared" si="11"/>
        <v>45961</v>
      </c>
      <c r="B314" t="s">
        <v>44</v>
      </c>
      <c r="D314" s="1">
        <f>總表[[#This Row],[金額]]/總表[[#This Row],[單價]]</f>
        <v>0.25</v>
      </c>
      <c r="E314" s="5" t="str">
        <f>_xlfn.IFNA(VLOOKUP(B314,$B:$G,4,0),"")</f>
        <v>台斤</v>
      </c>
      <c r="F314" s="6">
        <f>_xlfn.IFNA(VLOOKUP(B314,$B:$G,5,0),"")</f>
        <v>300</v>
      </c>
      <c r="G314" s="7">
        <v>75</v>
      </c>
      <c r="H314" s="8" t="str">
        <f>IF(A314&lt;&gt;A313,SUMIF(A:A, A314, G:G),"")</f>
        <v/>
      </c>
    </row>
    <row r="315" spans="1:9" x14ac:dyDescent="0.3">
      <c r="A315" s="4">
        <f t="shared" si="11"/>
        <v>45961</v>
      </c>
      <c r="B315" t="s">
        <v>58</v>
      </c>
      <c r="D315" s="1">
        <f>總表[[#This Row],[金額]]/總表[[#This Row],[單價]]</f>
        <v>4</v>
      </c>
      <c r="E315" s="5" t="str">
        <f>_xlfn.IFNA(VLOOKUP(B315,$B:$G,4,0),"")</f>
        <v>盒</v>
      </c>
      <c r="F315" s="6">
        <v>82</v>
      </c>
      <c r="G315" s="7">
        <v>328</v>
      </c>
      <c r="H315" s="8" t="str">
        <f>IF(A315&lt;&gt;A314,SUMIF(A:A, A315, G:G),"")</f>
        <v/>
      </c>
    </row>
    <row r="316" spans="1:9" x14ac:dyDescent="0.3">
      <c r="A316" s="4">
        <f t="shared" si="11"/>
        <v>45961</v>
      </c>
      <c r="B316" t="s">
        <v>38</v>
      </c>
      <c r="D316" s="1">
        <f>總表[[#This Row],[金額]]/總表[[#This Row],[單價]]</f>
        <v>6</v>
      </c>
      <c r="E316" s="5" t="str">
        <f>_xlfn.IFNA(VLOOKUP(B316,$B:$G,4,0),"")</f>
        <v>盒</v>
      </c>
      <c r="F316" s="6">
        <f>_xlfn.IFNA(VLOOKUP(B316,$B:$G,5,0),"")</f>
        <v>85</v>
      </c>
      <c r="G316" s="7">
        <v>510</v>
      </c>
      <c r="H316" s="8" t="str">
        <f>IF(A316&lt;&gt;A315,SUMIF(A:A, A316, G:G),"")</f>
        <v/>
      </c>
    </row>
    <row r="317" spans="1:9" x14ac:dyDescent="0.3">
      <c r="A317" s="4">
        <f t="shared" si="11"/>
        <v>45961</v>
      </c>
      <c r="B317" t="s">
        <v>28</v>
      </c>
      <c r="D317" s="1">
        <f>總表[[#This Row],[金額]]/總表[[#This Row],[單價]]</f>
        <v>1</v>
      </c>
      <c r="E317" s="5" t="str">
        <f>_xlfn.IFNA(VLOOKUP(B317,$B:$G,4,0),"")</f>
        <v>台斤</v>
      </c>
      <c r="F317" s="6">
        <f>_xlfn.IFNA(VLOOKUP(B317,$B:$G,5,0),"")</f>
        <v>120</v>
      </c>
      <c r="G317" s="7">
        <v>120</v>
      </c>
      <c r="H317" s="8" t="str">
        <f>IF(A317&lt;&gt;A316,SUMIF(A:A, A317, G:G),"")</f>
        <v/>
      </c>
    </row>
    <row r="318" spans="1:9" x14ac:dyDescent="0.3">
      <c r="A318" s="4">
        <f t="shared" si="11"/>
        <v>45961</v>
      </c>
      <c r="B318" t="s">
        <v>64</v>
      </c>
      <c r="D318" s="1">
        <f>總表[[#This Row],[金額]]/總表[[#This Row],[單價]]</f>
        <v>0.12545454545454546</v>
      </c>
      <c r="E318" s="5" t="str">
        <f>_xlfn.IFNA(VLOOKUP(B318,$B:$G,4,0),"")</f>
        <v>台斤</v>
      </c>
      <c r="F318" s="6">
        <f>_xlfn.IFNA(VLOOKUP(B318,$B:$G,5,0),"")</f>
        <v>1100</v>
      </c>
      <c r="G318" s="7">
        <v>138</v>
      </c>
      <c r="H318" s="8" t="str">
        <f>IF(A318&lt;&gt;A317,SUMIF(A:A, A318, G:G),"")</f>
        <v/>
      </c>
    </row>
    <row r="319" spans="1:9" x14ac:dyDescent="0.3">
      <c r="A319" s="4">
        <f t="shared" si="11"/>
        <v>45961</v>
      </c>
      <c r="B319" t="s">
        <v>24</v>
      </c>
      <c r="D319" s="1">
        <f>總表[[#This Row],[金額]]/總表[[#This Row],[單價]]</f>
        <v>2</v>
      </c>
      <c r="E319" s="5" t="str">
        <f>_xlfn.IFNA(VLOOKUP(B319,$B:$G,4,0),"")</f>
        <v>台斤</v>
      </c>
      <c r="F319" s="6">
        <v>155</v>
      </c>
      <c r="G319" s="7">
        <v>310</v>
      </c>
      <c r="H319" s="8" t="str">
        <f>IF(A319&lt;&gt;A318,SUMIF(A:A, A319, G:G),"")</f>
        <v/>
      </c>
    </row>
    <row r="320" spans="1:9" x14ac:dyDescent="0.3">
      <c r="A320" s="4">
        <f t="shared" si="11"/>
        <v>45961</v>
      </c>
      <c r="B320" t="s">
        <v>22</v>
      </c>
      <c r="D320" s="1">
        <f>總表[[#This Row],[金額]]/總表[[#This Row],[單價]]</f>
        <v>2.263157894736842</v>
      </c>
      <c r="E320" s="5" t="str">
        <f>_xlfn.IFNA(VLOOKUP(B320,$B:$G,4,0),"")</f>
        <v>台斤</v>
      </c>
      <c r="F320" s="6">
        <v>38</v>
      </c>
      <c r="G320" s="7">
        <v>86</v>
      </c>
      <c r="H320" s="8" t="str">
        <f>IF(A320&lt;&gt;A319,SUMIF(A:A, A320, G:G),"")</f>
        <v/>
      </c>
    </row>
    <row r="321" spans="1:9" x14ac:dyDescent="0.3">
      <c r="A321" s="4">
        <f t="shared" si="11"/>
        <v>45961</v>
      </c>
      <c r="B321" t="s">
        <v>15</v>
      </c>
      <c r="D321" s="1">
        <f>總表[[#This Row],[金額]]/總表[[#This Row],[單價]]</f>
        <v>0.25</v>
      </c>
      <c r="E321" s="5" t="str">
        <f>_xlfn.IFNA(VLOOKUP(B321,$B:$G,4,0),"")</f>
        <v>台斤</v>
      </c>
      <c r="F321" s="6">
        <v>80</v>
      </c>
      <c r="G321" s="7">
        <v>20</v>
      </c>
      <c r="H321" s="8" t="str">
        <f>IF(A321&lt;&gt;A320,SUMIF(A:A, A321, G:G),"")</f>
        <v/>
      </c>
    </row>
    <row r="322" spans="1:9" x14ac:dyDescent="0.3">
      <c r="A322" s="4">
        <v>45962</v>
      </c>
      <c r="B322" t="s">
        <v>28</v>
      </c>
      <c r="D322" s="1">
        <f>總表[[#This Row],[金額]]/總表[[#This Row],[單價]]</f>
        <v>1</v>
      </c>
      <c r="E322" s="5" t="str">
        <f>_xlfn.IFNA(VLOOKUP(B322,$B:$G,4,0),"")</f>
        <v>台斤</v>
      </c>
      <c r="F322" s="6">
        <f>_xlfn.IFNA(VLOOKUP(B322,$B:$G,5,0),"")</f>
        <v>120</v>
      </c>
      <c r="G322" s="7">
        <v>120</v>
      </c>
      <c r="H322" s="8">
        <f>IF(A322&lt;&gt;A321,SUMIF(A:A, A322, G:G),"")</f>
        <v>3714</v>
      </c>
      <c r="I322">
        <v>3714</v>
      </c>
    </row>
    <row r="323" spans="1:9" x14ac:dyDescent="0.3">
      <c r="A323" s="4">
        <f t="shared" si="11"/>
        <v>45962</v>
      </c>
      <c r="B323" t="s">
        <v>26</v>
      </c>
      <c r="D323" s="1">
        <f>總表[[#This Row],[金額]]/總表[[#This Row],[單價]]</f>
        <v>1</v>
      </c>
      <c r="E323" s="5" t="str">
        <f>_xlfn.IFNA(VLOOKUP(B323,$B:$G,4,0),"")</f>
        <v>包</v>
      </c>
      <c r="F323" s="6">
        <f>_xlfn.IFNA(VLOOKUP(B323,$B:$G,5,0),"")</f>
        <v>100</v>
      </c>
      <c r="G323" s="7">
        <v>100</v>
      </c>
      <c r="H323" s="8" t="str">
        <f>IF(A323&lt;&gt;A322,SUMIF(A:A, A323, G:G),"")</f>
        <v/>
      </c>
    </row>
    <row r="324" spans="1:9" x14ac:dyDescent="0.3">
      <c r="A324" s="4">
        <f t="shared" si="11"/>
        <v>45962</v>
      </c>
      <c r="B324" t="s">
        <v>44</v>
      </c>
      <c r="D324" s="1">
        <f>總表[[#This Row],[金額]]/總表[[#This Row],[單價]]</f>
        <v>0.18666666666666668</v>
      </c>
      <c r="E324" s="5" t="str">
        <f>_xlfn.IFNA(VLOOKUP(B324,$B:$G,4,0),"")</f>
        <v>台斤</v>
      </c>
      <c r="F324" s="6">
        <f>_xlfn.IFNA(VLOOKUP(B324,$B:$G,5,0),"")</f>
        <v>300</v>
      </c>
      <c r="G324" s="7">
        <v>56</v>
      </c>
      <c r="H324" s="8" t="str">
        <f>IF(A324&lt;&gt;A323,SUMIF(A:A, A324, G:G),"")</f>
        <v/>
      </c>
    </row>
    <row r="325" spans="1:9" x14ac:dyDescent="0.3">
      <c r="A325" s="4">
        <f t="shared" si="11"/>
        <v>45962</v>
      </c>
      <c r="B325" t="s">
        <v>15</v>
      </c>
      <c r="D325" s="1">
        <f>總表[[#This Row],[金額]]/總表[[#This Row],[單價]]</f>
        <v>0.1875</v>
      </c>
      <c r="E325" s="5" t="str">
        <f>_xlfn.IFNA(VLOOKUP(B325,$B:$G,4,0),"")</f>
        <v>台斤</v>
      </c>
      <c r="F325" s="6">
        <v>80</v>
      </c>
      <c r="G325" s="7">
        <v>15</v>
      </c>
      <c r="H325" s="8" t="str">
        <f>IF(A325&lt;&gt;A324,SUMIF(A:A, A325, G:G),"")</f>
        <v/>
      </c>
    </row>
    <row r="326" spans="1:9" x14ac:dyDescent="0.3">
      <c r="A326" s="4">
        <f t="shared" si="11"/>
        <v>45962</v>
      </c>
      <c r="B326" t="s">
        <v>38</v>
      </c>
      <c r="D326" s="1">
        <f>總表[[#This Row],[金額]]/總表[[#This Row],[單價]]</f>
        <v>3</v>
      </c>
      <c r="E326" s="5" t="str">
        <f>_xlfn.IFNA(VLOOKUP(B326,$B:$G,4,0),"")</f>
        <v>盒</v>
      </c>
      <c r="F326" s="6">
        <f>_xlfn.IFNA(VLOOKUP(B326,$B:$G,5,0),"")</f>
        <v>85</v>
      </c>
      <c r="G326" s="7">
        <v>255</v>
      </c>
      <c r="H326" s="8" t="str">
        <f>IF(A326&lt;&gt;A325,SUMIF(A:A, A326, G:G),"")</f>
        <v/>
      </c>
    </row>
    <row r="327" spans="1:9" x14ac:dyDescent="0.3">
      <c r="A327" s="4">
        <f t="shared" si="11"/>
        <v>45962</v>
      </c>
      <c r="B327" t="s">
        <v>22</v>
      </c>
      <c r="D327" s="1">
        <f>總表[[#This Row],[金額]]/總表[[#This Row],[單價]]</f>
        <v>3.5</v>
      </c>
      <c r="E327" s="5" t="str">
        <f>_xlfn.IFNA(VLOOKUP(B327,$B:$G,4,0),"")</f>
        <v>台斤</v>
      </c>
      <c r="F327" s="6">
        <v>38</v>
      </c>
      <c r="G327" s="7">
        <v>133</v>
      </c>
      <c r="H327" s="8" t="str">
        <f>IF(A327&lt;&gt;A326,SUMIF(A:A, A327, G:G),"")</f>
        <v/>
      </c>
    </row>
    <row r="328" spans="1:9" x14ac:dyDescent="0.3">
      <c r="A328" s="4">
        <f t="shared" si="11"/>
        <v>45962</v>
      </c>
      <c r="B328" t="s">
        <v>30</v>
      </c>
      <c r="D328" s="1">
        <f>總表[[#This Row],[金額]]/總表[[#This Row],[單價]]</f>
        <v>3</v>
      </c>
      <c r="E328" s="5" t="str">
        <f>_xlfn.IFNA(VLOOKUP(B328,$B:$G,4,0),"")</f>
        <v>盒</v>
      </c>
      <c r="F328" s="6">
        <f>_xlfn.IFNA(VLOOKUP(B328,$B:$G,5,0),"")</f>
        <v>280</v>
      </c>
      <c r="G328" s="7">
        <v>840</v>
      </c>
      <c r="H328" s="8" t="str">
        <f>IF(A328&lt;&gt;A327,SUMIF(A:A, A328, G:G),"")</f>
        <v/>
      </c>
    </row>
    <row r="329" spans="1:9" x14ac:dyDescent="0.3">
      <c r="A329" s="4">
        <f t="shared" si="11"/>
        <v>45962</v>
      </c>
      <c r="B329" t="s">
        <v>40</v>
      </c>
      <c r="D329" s="1">
        <f>總表[[#This Row],[金額]]/總表[[#This Row],[單價]]</f>
        <v>15</v>
      </c>
      <c r="E329" s="5" t="str">
        <f>_xlfn.IFNA(VLOOKUP(B329,$B:$G,4,0),"")</f>
        <v>台斤</v>
      </c>
      <c r="F329" s="6">
        <v>135</v>
      </c>
      <c r="G329" s="7">
        <v>2025</v>
      </c>
      <c r="H329" s="8" t="str">
        <f>IF(A329&lt;&gt;A328,SUMIF(A:A, A329, G:G),"")</f>
        <v/>
      </c>
    </row>
    <row r="330" spans="1:9" x14ac:dyDescent="0.3">
      <c r="A330" s="4">
        <f t="shared" si="11"/>
        <v>45962</v>
      </c>
      <c r="B330" t="s">
        <v>48</v>
      </c>
      <c r="D330" s="1">
        <f>總表[[#This Row],[金額]]/總表[[#This Row],[單價]]</f>
        <v>0.5</v>
      </c>
      <c r="E330" s="5" t="str">
        <f>_xlfn.IFNA(VLOOKUP(B330,$B:$G,4,0),"")</f>
        <v>台斤</v>
      </c>
      <c r="F330" s="6">
        <v>150</v>
      </c>
      <c r="G330" s="7">
        <v>75</v>
      </c>
      <c r="H330" s="8" t="str">
        <f>IF(A330&lt;&gt;A329,SUMIF(A:A, A330, G:G),"")</f>
        <v/>
      </c>
    </row>
    <row r="331" spans="1:9" x14ac:dyDescent="0.3">
      <c r="A331" s="4">
        <f t="shared" si="11"/>
        <v>45962</v>
      </c>
      <c r="B331" t="s">
        <v>36</v>
      </c>
      <c r="D331" s="1">
        <f>總表[[#This Row],[金額]]/總表[[#This Row],[單價]]</f>
        <v>1</v>
      </c>
      <c r="E331" s="5" t="str">
        <f>_xlfn.IFNA(VLOOKUP(B331,$B:$G,4,0),"")</f>
        <v>台斤</v>
      </c>
      <c r="F331" s="6">
        <v>95</v>
      </c>
      <c r="G331" s="7">
        <v>95</v>
      </c>
      <c r="H331" s="8" t="str">
        <f>IF(A331&lt;&gt;A330,SUMIF(A:A, A331, G:G),"")</f>
        <v/>
      </c>
    </row>
    <row r="332" spans="1:9" x14ac:dyDescent="0.3">
      <c r="A332" s="4">
        <v>45963</v>
      </c>
      <c r="B332" t="s">
        <v>38</v>
      </c>
      <c r="D332" s="1">
        <f>總表[[#This Row],[金額]]/總表[[#This Row],[單價]]</f>
        <v>4</v>
      </c>
      <c r="E332" s="5" t="str">
        <f>_xlfn.IFNA(VLOOKUP(B332,$B:$G,4,0),"")</f>
        <v>盒</v>
      </c>
      <c r="F332" s="6">
        <f>_xlfn.IFNA(VLOOKUP(B332,$B:$G,5,0),"")</f>
        <v>85</v>
      </c>
      <c r="G332" s="7">
        <v>340</v>
      </c>
      <c r="H332" s="8">
        <f>IF(A332&lt;&gt;A331,SUMIF(A:A, A332, G:G),"")</f>
        <v>867</v>
      </c>
      <c r="I332">
        <v>867</v>
      </c>
    </row>
    <row r="333" spans="1:9" x14ac:dyDescent="0.3">
      <c r="A333" s="4">
        <f t="shared" si="11"/>
        <v>45963</v>
      </c>
      <c r="B333" t="s">
        <v>28</v>
      </c>
      <c r="D333" s="1">
        <f>總表[[#This Row],[金額]]/總表[[#This Row],[單價]]</f>
        <v>1</v>
      </c>
      <c r="E333" s="5" t="str">
        <f>_xlfn.IFNA(VLOOKUP(B333,$B:$G,4,0),"")</f>
        <v>台斤</v>
      </c>
      <c r="F333" s="6">
        <f>_xlfn.IFNA(VLOOKUP(B333,$B:$G,5,0),"")</f>
        <v>120</v>
      </c>
      <c r="G333" s="7">
        <v>120</v>
      </c>
      <c r="H333" s="8" t="str">
        <f>IF(A333&lt;&gt;A332,SUMIF(A:A, A333, G:G),"")</f>
        <v/>
      </c>
    </row>
    <row r="334" spans="1:9" x14ac:dyDescent="0.3">
      <c r="A334" s="4">
        <f t="shared" si="11"/>
        <v>45963</v>
      </c>
      <c r="B334" t="s">
        <v>54</v>
      </c>
      <c r="D334" s="1">
        <f>總表[[#This Row],[金額]]/總表[[#This Row],[單價]]</f>
        <v>1</v>
      </c>
      <c r="E334" s="5" t="str">
        <f>_xlfn.IFNA(VLOOKUP(B334,$B:$G,4,0),"")</f>
        <v>包</v>
      </c>
      <c r="F334" s="6">
        <f>_xlfn.IFNA(VLOOKUP(B334,$B:$G,5,0),"")</f>
        <v>150</v>
      </c>
      <c r="G334" s="7">
        <v>150</v>
      </c>
      <c r="H334" s="8" t="str">
        <f>IF(A334&lt;&gt;A333,SUMIF(A:A, A334, G:G),"")</f>
        <v/>
      </c>
    </row>
    <row r="335" spans="1:9" x14ac:dyDescent="0.3">
      <c r="A335" s="4">
        <f t="shared" si="11"/>
        <v>45963</v>
      </c>
      <c r="B335" t="s">
        <v>24</v>
      </c>
      <c r="D335" s="1">
        <f>總表[[#This Row],[金額]]/總表[[#This Row],[單價]]</f>
        <v>1</v>
      </c>
      <c r="E335" s="5" t="str">
        <f>_xlfn.IFNA(VLOOKUP(B335,$B:$G,4,0),"")</f>
        <v>台斤</v>
      </c>
      <c r="F335" s="6">
        <f>_xlfn.IFNA(VLOOKUP(B335,$B:$G,5,0),"")</f>
        <v>155</v>
      </c>
      <c r="G335" s="7">
        <v>155</v>
      </c>
      <c r="H335" s="8" t="str">
        <f>IF(A335&lt;&gt;A334,SUMIF(A:A, A335, G:G),"")</f>
        <v/>
      </c>
    </row>
    <row r="336" spans="1:9" x14ac:dyDescent="0.3">
      <c r="A336" s="4">
        <f t="shared" si="11"/>
        <v>45963</v>
      </c>
      <c r="B336" t="s">
        <v>16</v>
      </c>
      <c r="D336" s="1">
        <f>總表[[#This Row],[金額]]/總表[[#This Row],[單價]]</f>
        <v>0.5</v>
      </c>
      <c r="E336" s="5" t="str">
        <f>_xlfn.IFNA(VLOOKUP(B336,$B:$G,4,0),"")</f>
        <v>台斤</v>
      </c>
      <c r="F336" s="6">
        <v>100</v>
      </c>
      <c r="G336" s="7">
        <v>50</v>
      </c>
      <c r="H336" s="8" t="str">
        <f>IF(A336&lt;&gt;A335,SUMIF(A:A, A336, G:G),"")</f>
        <v/>
      </c>
    </row>
    <row r="337" spans="1:9" x14ac:dyDescent="0.3">
      <c r="A337" s="4">
        <f t="shared" si="11"/>
        <v>45963</v>
      </c>
      <c r="B337" t="s">
        <v>22</v>
      </c>
      <c r="D337" s="1">
        <f>總表[[#This Row],[金額]]/總表[[#This Row],[單價]]</f>
        <v>1.368421052631579</v>
      </c>
      <c r="E337" s="5" t="str">
        <f>_xlfn.IFNA(VLOOKUP(B337,$B:$G,4,0),"")</f>
        <v>台斤</v>
      </c>
      <c r="F337" s="6">
        <v>38</v>
      </c>
      <c r="G337" s="7">
        <v>52</v>
      </c>
      <c r="H337" s="8" t="str">
        <f>IF(A337&lt;&gt;A336,SUMIF(A:A, A337, G:G),"")</f>
        <v/>
      </c>
    </row>
    <row r="338" spans="1:9" x14ac:dyDescent="0.3">
      <c r="A338" s="4">
        <v>45966</v>
      </c>
      <c r="B338" t="s">
        <v>24</v>
      </c>
      <c r="D338" s="1">
        <f>總表[[#This Row],[金額]]/總表[[#This Row],[單價]]</f>
        <v>1</v>
      </c>
      <c r="E338" s="5" t="str">
        <f>_xlfn.IFNA(VLOOKUP(B338,$B:$G,4,0),"")</f>
        <v>台斤</v>
      </c>
      <c r="F338" s="6">
        <f>_xlfn.IFNA(VLOOKUP(B338,$B:$G,5,0),"")</f>
        <v>155</v>
      </c>
      <c r="G338" s="7">
        <v>155</v>
      </c>
      <c r="H338" s="8">
        <f>IF(A338&lt;&gt;A337,SUMIF(A:A, A338, G:G),"")</f>
        <v>2440</v>
      </c>
      <c r="I338">
        <v>2440</v>
      </c>
    </row>
    <row r="339" spans="1:9" x14ac:dyDescent="0.3">
      <c r="A339" s="4">
        <f t="shared" si="11"/>
        <v>45966</v>
      </c>
      <c r="B339" t="s">
        <v>56</v>
      </c>
      <c r="D339" s="1">
        <f>總表[[#This Row],[金額]]/總表[[#This Row],[單價]]</f>
        <v>10</v>
      </c>
      <c r="E339" s="5" t="str">
        <f>_xlfn.IFNA(VLOOKUP(B339,$B:$G,4,0),"")</f>
        <v>台斤</v>
      </c>
      <c r="F339" s="6">
        <f>_xlfn.IFNA(VLOOKUP(B339,$B:$G,5,0),"")</f>
        <v>130</v>
      </c>
      <c r="G339" s="7">
        <v>1300</v>
      </c>
      <c r="H339" s="8" t="str">
        <f>IF(A339&lt;&gt;A338,SUMIF(A:A, A339, G:G),"")</f>
        <v/>
      </c>
    </row>
    <row r="340" spans="1:9" x14ac:dyDescent="0.3">
      <c r="A340" s="4">
        <f t="shared" si="11"/>
        <v>45966</v>
      </c>
      <c r="B340" t="s">
        <v>38</v>
      </c>
      <c r="D340" s="1">
        <f>總表[[#This Row],[金額]]/總表[[#This Row],[單價]]</f>
        <v>3</v>
      </c>
      <c r="E340" s="5" t="str">
        <f>_xlfn.IFNA(VLOOKUP(B340,$B:$G,4,0),"")</f>
        <v>盒</v>
      </c>
      <c r="F340" s="6">
        <f>_xlfn.IFNA(VLOOKUP(B340,$B:$G,5,0),"")</f>
        <v>85</v>
      </c>
      <c r="G340" s="7">
        <v>255</v>
      </c>
      <c r="H340" s="8" t="str">
        <f>IF(A340&lt;&gt;A339,SUMIF(A:A, A340, G:G),"")</f>
        <v/>
      </c>
    </row>
    <row r="341" spans="1:9" x14ac:dyDescent="0.3">
      <c r="A341" s="4">
        <f t="shared" si="11"/>
        <v>45966</v>
      </c>
      <c r="B341" t="s">
        <v>36</v>
      </c>
      <c r="D341" s="1">
        <f>總表[[#This Row],[金額]]/總表[[#This Row],[單價]]</f>
        <v>1</v>
      </c>
      <c r="E341" s="5" t="str">
        <f>_xlfn.IFNA(VLOOKUP(B341,$B:$G,4,0),"")</f>
        <v>台斤</v>
      </c>
      <c r="F341" s="6">
        <v>95</v>
      </c>
      <c r="G341" s="7">
        <v>95</v>
      </c>
      <c r="H341" s="8" t="str">
        <f>IF(A341&lt;&gt;A340,SUMIF(A:A, A341, G:G),"")</f>
        <v/>
      </c>
    </row>
    <row r="342" spans="1:9" x14ac:dyDescent="0.3">
      <c r="A342" s="4">
        <f t="shared" si="11"/>
        <v>45966</v>
      </c>
      <c r="B342" t="s">
        <v>48</v>
      </c>
      <c r="D342" s="1">
        <f>總表[[#This Row],[金額]]/總表[[#This Row],[單價]]</f>
        <v>0.5</v>
      </c>
      <c r="E342" s="5" t="str">
        <f>_xlfn.IFNA(VLOOKUP(B342,$B:$G,4,0),"")</f>
        <v>台斤</v>
      </c>
      <c r="F342" s="6">
        <v>150</v>
      </c>
      <c r="G342" s="7">
        <v>75</v>
      </c>
      <c r="H342" s="8" t="str">
        <f>IF(A342&lt;&gt;A341,SUMIF(A:A, A342, G:G),"")</f>
        <v/>
      </c>
    </row>
    <row r="343" spans="1:9" x14ac:dyDescent="0.3">
      <c r="A343" s="4">
        <f t="shared" si="11"/>
        <v>45966</v>
      </c>
      <c r="B343" t="s">
        <v>18</v>
      </c>
      <c r="D343" s="1">
        <f>總表[[#This Row],[金額]]/總表[[#This Row],[單價]]</f>
        <v>2.1230769230769231</v>
      </c>
      <c r="E343" s="5" t="str">
        <f>_xlfn.IFNA(VLOOKUP(B343,$B:$G,4,0),"")</f>
        <v>台斤</v>
      </c>
      <c r="F343" s="6">
        <v>130</v>
      </c>
      <c r="G343" s="7">
        <v>276</v>
      </c>
      <c r="H343" s="8" t="str">
        <f>IF(A343&lt;&gt;A342,SUMIF(A:A, A343, G:G),"")</f>
        <v/>
      </c>
    </row>
    <row r="344" spans="1:9" x14ac:dyDescent="0.3">
      <c r="A344" s="4">
        <f t="shared" si="11"/>
        <v>45966</v>
      </c>
      <c r="B344" t="s">
        <v>20</v>
      </c>
      <c r="D344" s="1">
        <f>總表[[#This Row],[金額]]/總表[[#This Row],[單價]]</f>
        <v>2.1846153846153844</v>
      </c>
      <c r="E344" s="5" t="str">
        <f>_xlfn.IFNA(VLOOKUP(B344,$B:$G,4,0),"")</f>
        <v>台斤</v>
      </c>
      <c r="F344" s="6">
        <v>130</v>
      </c>
      <c r="G344" s="7">
        <v>284</v>
      </c>
      <c r="H344" s="8" t="str">
        <f>IF(A344&lt;&gt;A343,SUMIF(A:A, A344, G:G),"")</f>
        <v/>
      </c>
    </row>
    <row r="345" spans="1:9" x14ac:dyDescent="0.3">
      <c r="A345" s="4">
        <v>45968</v>
      </c>
      <c r="B345" t="s">
        <v>34</v>
      </c>
      <c r="D345" s="1">
        <f>總表[[#This Row],[金額]]/總表[[#This Row],[單價]]</f>
        <v>1.875</v>
      </c>
      <c r="E345" s="5" t="str">
        <f>_xlfn.IFNA(VLOOKUP(B345,$B:$G,4,0),"")</f>
        <v>台斤</v>
      </c>
      <c r="F345" s="6">
        <v>200</v>
      </c>
      <c r="G345" s="7">
        <v>375</v>
      </c>
      <c r="H345" s="8">
        <f>IF(A345&lt;&gt;A344,SUMIF(A:A, A345, G:G),"")</f>
        <v>1550</v>
      </c>
      <c r="I345">
        <v>1550</v>
      </c>
    </row>
    <row r="346" spans="1:9" x14ac:dyDescent="0.3">
      <c r="A346" s="4">
        <f t="shared" si="11"/>
        <v>45968</v>
      </c>
      <c r="B346" t="s">
        <v>15</v>
      </c>
      <c r="D346" s="1">
        <f>總表[[#This Row],[金額]]/總表[[#This Row],[單價]]</f>
        <v>0.1875</v>
      </c>
      <c r="E346" s="5" t="str">
        <f>_xlfn.IFNA(VLOOKUP(B346,$B:$G,4,0),"")</f>
        <v>台斤</v>
      </c>
      <c r="F346" s="6">
        <v>80</v>
      </c>
      <c r="G346" s="7">
        <v>15</v>
      </c>
      <c r="H346" s="8" t="str">
        <f>IF(A346&lt;&gt;A345,SUMIF(A:A, A346, G:G),"")</f>
        <v/>
      </c>
    </row>
    <row r="347" spans="1:9" x14ac:dyDescent="0.3">
      <c r="A347" s="4">
        <f t="shared" si="11"/>
        <v>45968</v>
      </c>
      <c r="B347" t="s">
        <v>44</v>
      </c>
      <c r="D347" s="1">
        <f>總表[[#This Row],[金額]]/總表[[#This Row],[單價]]</f>
        <v>0.25</v>
      </c>
      <c r="E347" s="5" t="str">
        <f>_xlfn.IFNA(VLOOKUP(B347,$B:$G,4,0),"")</f>
        <v>台斤</v>
      </c>
      <c r="F347" s="6">
        <f>_xlfn.IFNA(VLOOKUP(B347,$B:$G,5,0),"")</f>
        <v>300</v>
      </c>
      <c r="G347" s="7">
        <v>75</v>
      </c>
      <c r="H347" s="8" t="str">
        <f>IF(A347&lt;&gt;A346,SUMIF(A:A, A347, G:G),"")</f>
        <v/>
      </c>
    </row>
    <row r="348" spans="1:9" x14ac:dyDescent="0.3">
      <c r="A348" s="4">
        <f t="shared" si="11"/>
        <v>45968</v>
      </c>
      <c r="B348" t="s">
        <v>22</v>
      </c>
      <c r="D348" s="1">
        <f>總表[[#This Row],[金額]]/總表[[#This Row],[單價]]</f>
        <v>3.8157894736842106</v>
      </c>
      <c r="E348" s="5" t="str">
        <f>_xlfn.IFNA(VLOOKUP(B348,$B:$G,4,0),"")</f>
        <v>台斤</v>
      </c>
      <c r="F348" s="6">
        <v>38</v>
      </c>
      <c r="G348" s="7">
        <v>145</v>
      </c>
      <c r="H348" s="8" t="str">
        <f>IF(A348&lt;&gt;A347,SUMIF(A:A, A348, G:G),"")</f>
        <v/>
      </c>
    </row>
    <row r="349" spans="1:9" x14ac:dyDescent="0.3">
      <c r="A349" s="4">
        <f t="shared" si="11"/>
        <v>45968</v>
      </c>
      <c r="B349" t="s">
        <v>30</v>
      </c>
      <c r="D349" s="1">
        <f>總表[[#This Row],[金額]]/總表[[#This Row],[單價]]</f>
        <v>3</v>
      </c>
      <c r="E349" s="5" t="str">
        <f>_xlfn.IFNA(VLOOKUP(B349,$B:$G,4,0),"")</f>
        <v>盒</v>
      </c>
      <c r="F349" s="6">
        <v>280</v>
      </c>
      <c r="G349" s="7">
        <v>840</v>
      </c>
      <c r="H349" s="8" t="str">
        <f>IF(A349&lt;&gt;A348,SUMIF(A:A, A349, G:G),"")</f>
        <v/>
      </c>
    </row>
    <row r="350" spans="1:9" x14ac:dyDescent="0.3">
      <c r="A350" s="4">
        <f t="shared" si="11"/>
        <v>45968</v>
      </c>
      <c r="B350" t="s">
        <v>16</v>
      </c>
      <c r="D350" s="1">
        <f>總表[[#This Row],[金額]]/總表[[#This Row],[單價]]</f>
        <v>1</v>
      </c>
      <c r="E350" s="5" t="str">
        <f>_xlfn.IFNA(VLOOKUP(B350,$B:$G,4,0),"")</f>
        <v>台斤</v>
      </c>
      <c r="F350" s="6">
        <v>100</v>
      </c>
      <c r="G350" s="7">
        <v>100</v>
      </c>
      <c r="H350" s="8" t="str">
        <f>IF(A350&lt;&gt;A349,SUMIF(A:A, A350, G:G),"")</f>
        <v/>
      </c>
    </row>
    <row r="351" spans="1:9" x14ac:dyDescent="0.3">
      <c r="A351" s="4">
        <v>45969</v>
      </c>
      <c r="B351" t="s">
        <v>28</v>
      </c>
      <c r="D351" s="1">
        <f>總表[[#This Row],[金額]]/總表[[#This Row],[單價]]</f>
        <v>1</v>
      </c>
      <c r="E351" s="5" t="str">
        <f>_xlfn.IFNA(VLOOKUP(B351,$B:$G,4,0),"")</f>
        <v>台斤</v>
      </c>
      <c r="F351" s="6">
        <f>_xlfn.IFNA(VLOOKUP(B351,$B:$G,5,0),"")</f>
        <v>120</v>
      </c>
      <c r="G351" s="7">
        <v>120</v>
      </c>
      <c r="H351" s="8">
        <f>IF(A351&lt;&gt;A350,SUMIF(A:A, A351, G:G),"")</f>
        <v>2288</v>
      </c>
      <c r="I351">
        <v>2288</v>
      </c>
    </row>
    <row r="352" spans="1:9" x14ac:dyDescent="0.3">
      <c r="A352" s="4">
        <f t="shared" si="11"/>
        <v>45969</v>
      </c>
      <c r="B352" t="s">
        <v>44</v>
      </c>
      <c r="D352" s="1">
        <f>總表[[#This Row],[金額]]/總表[[#This Row],[單價]]</f>
        <v>0.25</v>
      </c>
      <c r="E352" s="5" t="str">
        <f>_xlfn.IFNA(VLOOKUP(B352,$B:$G,4,0),"")</f>
        <v>台斤</v>
      </c>
      <c r="F352" s="6">
        <f>_xlfn.IFNA(VLOOKUP(B352,$B:$G,5,0),"")</f>
        <v>300</v>
      </c>
      <c r="G352" s="7">
        <v>75</v>
      </c>
      <c r="H352" s="8" t="str">
        <f>IF(A352&lt;&gt;A351,SUMIF(A:A, A352, G:G),"")</f>
        <v/>
      </c>
    </row>
    <row r="353" spans="1:9" x14ac:dyDescent="0.3">
      <c r="A353" s="4">
        <f t="shared" si="11"/>
        <v>45969</v>
      </c>
      <c r="B353" t="s">
        <v>15</v>
      </c>
      <c r="D353" s="1">
        <f>總表[[#This Row],[金額]]/總表[[#This Row],[單價]]</f>
        <v>0.1875</v>
      </c>
      <c r="E353" s="5" t="str">
        <f>_xlfn.IFNA(VLOOKUP(B353,$B:$G,4,0),"")</f>
        <v>台斤</v>
      </c>
      <c r="F353" s="6">
        <v>80</v>
      </c>
      <c r="G353" s="7">
        <v>15</v>
      </c>
      <c r="H353" s="8" t="str">
        <f>IF(A353&lt;&gt;A352,SUMIF(A:A, A353, G:G),"")</f>
        <v/>
      </c>
    </row>
    <row r="354" spans="1:9" x14ac:dyDescent="0.3">
      <c r="A354" s="4">
        <f t="shared" si="11"/>
        <v>45969</v>
      </c>
      <c r="B354" t="s">
        <v>64</v>
      </c>
      <c r="D354" s="1">
        <f>總表[[#This Row],[金額]]/總表[[#This Row],[單價]]</f>
        <v>0.12545454545454546</v>
      </c>
      <c r="E354" s="5" t="str">
        <f>_xlfn.IFNA(VLOOKUP(B354,$B:$G,4,0),"")</f>
        <v>台斤</v>
      </c>
      <c r="F354" s="6">
        <f>_xlfn.IFNA(VLOOKUP(B354,$B:$G,5,0),"")</f>
        <v>1100</v>
      </c>
      <c r="G354" s="7">
        <v>138</v>
      </c>
      <c r="H354" s="8" t="str">
        <f>IF(A354&lt;&gt;A353,SUMIF(A:A, A354, G:G),"")</f>
        <v/>
      </c>
    </row>
    <row r="355" spans="1:9" x14ac:dyDescent="0.3">
      <c r="A355" s="4">
        <f t="shared" si="11"/>
        <v>45969</v>
      </c>
      <c r="B355" t="s">
        <v>38</v>
      </c>
      <c r="D355" s="1">
        <f>總表[[#This Row],[金額]]/總表[[#This Row],[單價]]</f>
        <v>6</v>
      </c>
      <c r="E355" s="5" t="str">
        <f>_xlfn.IFNA(VLOOKUP(B355,$B:$G,4,0),"")</f>
        <v>盒</v>
      </c>
      <c r="F355" s="6">
        <f>_xlfn.IFNA(VLOOKUP(B355,$B:$G,5,0),"")</f>
        <v>85</v>
      </c>
      <c r="G355" s="7">
        <v>510</v>
      </c>
      <c r="H355" s="8" t="str">
        <f>IF(A355&lt;&gt;A354,SUMIF(A:A, A355, G:G),"")</f>
        <v/>
      </c>
    </row>
    <row r="356" spans="1:9" x14ac:dyDescent="0.3">
      <c r="A356" s="4">
        <f t="shared" si="11"/>
        <v>45969</v>
      </c>
      <c r="B356" t="s">
        <v>30</v>
      </c>
      <c r="D356" s="1">
        <f>總表[[#This Row],[金額]]/總表[[#This Row],[單價]]</f>
        <v>4</v>
      </c>
      <c r="E356" s="5" t="str">
        <f>_xlfn.IFNA(VLOOKUP(B356,$B:$G,4,0),"")</f>
        <v>盒</v>
      </c>
      <c r="F356" s="6">
        <f>_xlfn.IFNA(VLOOKUP(B356,$B:$G,5,0),"")</f>
        <v>280</v>
      </c>
      <c r="G356" s="7">
        <v>1120</v>
      </c>
      <c r="H356" s="8" t="str">
        <f>IF(A356&lt;&gt;A355,SUMIF(A:A, A356, G:G),"")</f>
        <v/>
      </c>
    </row>
    <row r="357" spans="1:9" x14ac:dyDescent="0.3">
      <c r="A357" s="4">
        <f t="shared" si="11"/>
        <v>45969</v>
      </c>
      <c r="B357" t="s">
        <v>24</v>
      </c>
      <c r="D357" s="1">
        <f>總表[[#This Row],[金額]]/總表[[#This Row],[單價]]</f>
        <v>2</v>
      </c>
      <c r="E357" s="5" t="str">
        <f>_xlfn.IFNA(VLOOKUP(B357,$B:$G,4,0),"")</f>
        <v>台斤</v>
      </c>
      <c r="F357" s="6">
        <f>_xlfn.IFNA(VLOOKUP(B357,$B:$G,5,0),"")</f>
        <v>155</v>
      </c>
      <c r="G357" s="7">
        <v>310</v>
      </c>
      <c r="H357" s="8" t="str">
        <f>IF(A357&lt;&gt;A356,SUMIF(A:A, A357, G:G),"")</f>
        <v/>
      </c>
    </row>
    <row r="358" spans="1:9" x14ac:dyDescent="0.3">
      <c r="A358" s="4">
        <v>45970</v>
      </c>
      <c r="B358" t="s">
        <v>44</v>
      </c>
      <c r="D358" s="1">
        <f>總表[[#This Row],[金額]]/總表[[#This Row],[單價]]</f>
        <v>0.18666666666666668</v>
      </c>
      <c r="E358" s="5" t="str">
        <f>_xlfn.IFNA(VLOOKUP(B358,$B:$G,4,0),"")</f>
        <v>台斤</v>
      </c>
      <c r="F358" s="6">
        <f>_xlfn.IFNA(VLOOKUP(B358,$B:$G,5,0),"")</f>
        <v>300</v>
      </c>
      <c r="G358" s="7">
        <v>56</v>
      </c>
      <c r="H358" s="8">
        <f>IF(A358&lt;&gt;A357,SUMIF(A:A, A358, G:G),"")</f>
        <v>1171</v>
      </c>
      <c r="I358">
        <v>1171</v>
      </c>
    </row>
    <row r="359" spans="1:9" x14ac:dyDescent="0.3">
      <c r="A359" s="4">
        <f t="shared" si="11"/>
        <v>45970</v>
      </c>
      <c r="B359" t="s">
        <v>38</v>
      </c>
      <c r="D359" s="1">
        <f>總表[[#This Row],[金額]]/總表[[#This Row],[單價]]</f>
        <v>2</v>
      </c>
      <c r="E359" s="5" t="str">
        <f>_xlfn.IFNA(VLOOKUP(B359,$B:$G,4,0),"")</f>
        <v>盒</v>
      </c>
      <c r="F359" s="6">
        <f>_xlfn.IFNA(VLOOKUP(B359,$B:$G,5,0),"")</f>
        <v>85</v>
      </c>
      <c r="G359" s="7">
        <v>170</v>
      </c>
      <c r="H359" s="8" t="str">
        <f>IF(A359&lt;&gt;A358,SUMIF(A:A, A359, G:G),"")</f>
        <v/>
      </c>
    </row>
    <row r="360" spans="1:9" x14ac:dyDescent="0.3">
      <c r="A360" s="4">
        <f t="shared" si="11"/>
        <v>45970</v>
      </c>
      <c r="B360" t="s">
        <v>52</v>
      </c>
      <c r="D360" s="1">
        <f>總表[[#This Row],[金額]]/總表[[#This Row],[單價]]</f>
        <v>5</v>
      </c>
      <c r="E360" s="5" t="str">
        <f>_xlfn.IFNA(VLOOKUP(B360,$B:$G,4,0),"")</f>
        <v>包</v>
      </c>
      <c r="F360" s="6">
        <f>_xlfn.IFNA(VLOOKUP(B360,$B:$G,5,0),"")</f>
        <v>155</v>
      </c>
      <c r="G360" s="7">
        <v>775</v>
      </c>
      <c r="H360" s="8" t="str">
        <f>IF(A360&lt;&gt;A359,SUMIF(A:A, A360, G:G),"")</f>
        <v/>
      </c>
    </row>
    <row r="361" spans="1:9" x14ac:dyDescent="0.3">
      <c r="A361" s="4">
        <f t="shared" si="11"/>
        <v>45970</v>
      </c>
      <c r="B361" t="s">
        <v>42</v>
      </c>
      <c r="D361" s="1">
        <f>總表[[#This Row],[金額]]/總表[[#This Row],[單價]]</f>
        <v>1</v>
      </c>
      <c r="E361" s="5" t="str">
        <f>_xlfn.IFNA(VLOOKUP(B361,$B:$G,4,0),"")</f>
        <v>盒</v>
      </c>
      <c r="F361" s="6">
        <v>170</v>
      </c>
      <c r="G361" s="7">
        <v>170</v>
      </c>
      <c r="H361" s="8" t="str">
        <f>IF(A361&lt;&gt;A360,SUMIF(A:A, A361, G:G),"")</f>
        <v/>
      </c>
    </row>
    <row r="362" spans="1:9" x14ac:dyDescent="0.3">
      <c r="A362" s="4">
        <v>45972</v>
      </c>
      <c r="B362" t="s">
        <v>15</v>
      </c>
      <c r="D362" s="1">
        <f>總表[[#This Row],[金額]]/總表[[#This Row],[單價]]</f>
        <v>0.125</v>
      </c>
      <c r="E362" s="5" t="str">
        <f>_xlfn.IFNA(VLOOKUP(B362,$B:$G,4,0),"")</f>
        <v>台斤</v>
      </c>
      <c r="F362" s="6">
        <v>80</v>
      </c>
      <c r="G362" s="7">
        <v>10</v>
      </c>
      <c r="H362" s="8">
        <f>IF(A362&lt;&gt;A361,SUMIF(A:A, A362, G:G),"")</f>
        <v>2823</v>
      </c>
      <c r="I362">
        <v>2823</v>
      </c>
    </row>
    <row r="363" spans="1:9" x14ac:dyDescent="0.3">
      <c r="A363" s="4">
        <f t="shared" si="11"/>
        <v>45972</v>
      </c>
      <c r="B363" t="s">
        <v>44</v>
      </c>
      <c r="D363" s="1">
        <f>總表[[#This Row],[金額]]/總表[[#This Row],[單價]]</f>
        <v>0.12666666666666668</v>
      </c>
      <c r="E363" s="5" t="str">
        <f>_xlfn.IFNA(VLOOKUP(B363,$B:$G,4,0),"")</f>
        <v>台斤</v>
      </c>
      <c r="F363" s="6">
        <f>_xlfn.IFNA(VLOOKUP(B363,$B:$G,5,0),"")</f>
        <v>300</v>
      </c>
      <c r="G363" s="7">
        <v>38</v>
      </c>
      <c r="H363" s="8" t="str">
        <f>IF(A363&lt;&gt;A362,SUMIF(A:A, A363, G:G),"")</f>
        <v/>
      </c>
    </row>
    <row r="364" spans="1:9" x14ac:dyDescent="0.3">
      <c r="A364" s="4">
        <f t="shared" si="11"/>
        <v>45972</v>
      </c>
      <c r="B364" t="s">
        <v>28</v>
      </c>
      <c r="D364" s="1">
        <f>總表[[#This Row],[金額]]/總表[[#This Row],[單價]]</f>
        <v>1</v>
      </c>
      <c r="E364" s="5" t="str">
        <f>_xlfn.IFNA(VLOOKUP(B364,$B:$G,4,0),"")</f>
        <v>台斤</v>
      </c>
      <c r="F364" s="6">
        <f>_xlfn.IFNA(VLOOKUP(B364,$B:$G,5,0),"")</f>
        <v>120</v>
      </c>
      <c r="G364" s="7">
        <v>120</v>
      </c>
      <c r="H364" s="8" t="str">
        <f>IF(A364&lt;&gt;A363,SUMIF(A:A, A364, G:G),"")</f>
        <v/>
      </c>
    </row>
    <row r="365" spans="1:9" x14ac:dyDescent="0.3">
      <c r="A365" s="4">
        <f t="shared" si="11"/>
        <v>45972</v>
      </c>
      <c r="B365" t="s">
        <v>38</v>
      </c>
      <c r="D365" s="1">
        <f>總表[[#This Row],[金額]]/總表[[#This Row],[單價]]</f>
        <v>3</v>
      </c>
      <c r="E365" s="5" t="str">
        <f>_xlfn.IFNA(VLOOKUP(B365,$B:$G,4,0),"")</f>
        <v>盒</v>
      </c>
      <c r="F365" s="6">
        <f>_xlfn.IFNA(VLOOKUP(B365,$B:$G,5,0),"")</f>
        <v>85</v>
      </c>
      <c r="G365" s="7">
        <v>255</v>
      </c>
      <c r="H365" s="8" t="str">
        <f t="shared" ref="H365:H373" si="12">IF(A365&lt;&gt;A364,SUMIF(A:A, A365, G:G),"")</f>
        <v/>
      </c>
    </row>
    <row r="366" spans="1:9" x14ac:dyDescent="0.3">
      <c r="A366" s="4">
        <f t="shared" si="11"/>
        <v>45972</v>
      </c>
      <c r="B366" t="s">
        <v>26</v>
      </c>
      <c r="D366" s="1">
        <f>總表[[#This Row],[金額]]/總表[[#This Row],[單價]]</f>
        <v>1</v>
      </c>
      <c r="E366" s="5" t="str">
        <f>_xlfn.IFNA(VLOOKUP(B366,$B:$G,4,0),"")</f>
        <v>包</v>
      </c>
      <c r="F366" s="6">
        <f>_xlfn.IFNA(VLOOKUP(B366,$B:$G,5,0),"")</f>
        <v>100</v>
      </c>
      <c r="G366" s="7">
        <v>100</v>
      </c>
      <c r="H366" s="8" t="str">
        <f t="shared" si="12"/>
        <v/>
      </c>
    </row>
    <row r="367" spans="1:9" x14ac:dyDescent="0.3">
      <c r="A367" s="4">
        <f t="shared" ref="A367:A430" si="13">IF(B367="","",A366)</f>
        <v>45972</v>
      </c>
      <c r="B367" t="s">
        <v>40</v>
      </c>
      <c r="D367" s="1">
        <f>總表[[#This Row],[金額]]/總表[[#This Row],[單價]]</f>
        <v>15</v>
      </c>
      <c r="E367" s="5" t="str">
        <f>_xlfn.IFNA(VLOOKUP(B367,$B:$G,4,0),"")</f>
        <v>台斤</v>
      </c>
      <c r="F367" s="6">
        <v>135</v>
      </c>
      <c r="G367" s="7">
        <v>2025</v>
      </c>
      <c r="H367" s="8" t="str">
        <f t="shared" si="12"/>
        <v/>
      </c>
    </row>
    <row r="368" spans="1:9" x14ac:dyDescent="0.3">
      <c r="A368" s="4">
        <f t="shared" si="13"/>
        <v>45972</v>
      </c>
      <c r="B368" t="s">
        <v>81</v>
      </c>
      <c r="D368" s="1">
        <f>總表[[#This Row],[金額]]/總表[[#This Row],[單價]]</f>
        <v>1.1333333333333333</v>
      </c>
      <c r="E368" s="5" t="s">
        <v>5</v>
      </c>
      <c r="F368" s="6">
        <v>30</v>
      </c>
      <c r="G368" s="7">
        <v>34</v>
      </c>
      <c r="H368" s="8" t="str">
        <f t="shared" si="12"/>
        <v/>
      </c>
    </row>
    <row r="369" spans="1:9" x14ac:dyDescent="0.3">
      <c r="A369" s="4">
        <f t="shared" si="13"/>
        <v>45972</v>
      </c>
      <c r="B369" t="s">
        <v>82</v>
      </c>
      <c r="D369" s="1">
        <f>總表[[#This Row],[金額]]/總表[[#This Row],[單價]]</f>
        <v>1.125</v>
      </c>
      <c r="E369" s="5" t="s">
        <v>5</v>
      </c>
      <c r="F369" s="6">
        <v>80</v>
      </c>
      <c r="G369" s="7">
        <v>90</v>
      </c>
      <c r="H369" s="8" t="str">
        <f t="shared" si="12"/>
        <v/>
      </c>
    </row>
    <row r="370" spans="1:9" x14ac:dyDescent="0.3">
      <c r="A370" s="4">
        <f t="shared" si="13"/>
        <v>45972</v>
      </c>
      <c r="B370" t="s">
        <v>83</v>
      </c>
      <c r="D370" s="1">
        <f>總表[[#This Row],[金額]]/總表[[#This Row],[單價]]</f>
        <v>6.2857142857142861E-2</v>
      </c>
      <c r="E370" s="5" t="s">
        <v>5</v>
      </c>
      <c r="F370" s="6">
        <v>700</v>
      </c>
      <c r="G370" s="7">
        <v>44</v>
      </c>
      <c r="H370" s="8" t="str">
        <f t="shared" si="12"/>
        <v/>
      </c>
    </row>
    <row r="371" spans="1:9" x14ac:dyDescent="0.3">
      <c r="A371" s="4">
        <f t="shared" si="13"/>
        <v>45972</v>
      </c>
      <c r="B371" t="s">
        <v>84</v>
      </c>
      <c r="D371" s="1">
        <f>總表[[#This Row],[金額]]/總表[[#This Row],[單價]]</f>
        <v>6.6666666666666666E-2</v>
      </c>
      <c r="E371" s="5" t="s">
        <v>5</v>
      </c>
      <c r="F371" s="6">
        <v>120</v>
      </c>
      <c r="G371" s="7">
        <v>8</v>
      </c>
      <c r="H371" s="8" t="str">
        <f t="shared" si="12"/>
        <v/>
      </c>
    </row>
    <row r="372" spans="1:9" x14ac:dyDescent="0.3">
      <c r="A372" s="4">
        <f t="shared" si="13"/>
        <v>45972</v>
      </c>
      <c r="B372" t="s">
        <v>85</v>
      </c>
      <c r="D372" s="1">
        <f>總表[[#This Row],[金額]]/總表[[#This Row],[單價]]</f>
        <v>0.06</v>
      </c>
      <c r="E372" s="5" t="s">
        <v>5</v>
      </c>
      <c r="F372" s="6">
        <v>150</v>
      </c>
      <c r="G372" s="7">
        <v>9</v>
      </c>
      <c r="H372" s="8" t="str">
        <f t="shared" si="12"/>
        <v/>
      </c>
    </row>
    <row r="373" spans="1:9" x14ac:dyDescent="0.3">
      <c r="A373" s="4">
        <f t="shared" si="13"/>
        <v>45972</v>
      </c>
      <c r="B373" s="11" t="s">
        <v>22</v>
      </c>
      <c r="D373" s="1">
        <f>總表[[#This Row],[金額]]/總表[[#This Row],[單價]]</f>
        <v>2.3684210526315788</v>
      </c>
      <c r="E373" s="5" t="str">
        <f>_xlfn.IFNA(VLOOKUP(B373,$B:$G,4,0),"")</f>
        <v>台斤</v>
      </c>
      <c r="F373" s="6">
        <v>38</v>
      </c>
      <c r="G373" s="7">
        <v>90</v>
      </c>
      <c r="H373" s="8" t="str">
        <f t="shared" si="12"/>
        <v/>
      </c>
    </row>
    <row r="374" spans="1:9" x14ac:dyDescent="0.3">
      <c r="A374" s="4">
        <v>45973</v>
      </c>
      <c r="B374" t="s">
        <v>62</v>
      </c>
      <c r="D374" s="1">
        <f>總表[[#This Row],[金額]]/總表[[#This Row],[單價]]</f>
        <v>10</v>
      </c>
      <c r="E374" s="5" t="str">
        <f>_xlfn.IFNA(VLOOKUP(B374,$B:$G,4,0),"")</f>
        <v>台斤</v>
      </c>
      <c r="F374" s="6">
        <f>_xlfn.IFNA(VLOOKUP(B374,$B:$G,5,0),"")</f>
        <v>340</v>
      </c>
      <c r="G374" s="7">
        <v>3400</v>
      </c>
      <c r="H374" s="8">
        <f>IF(A374&lt;&gt;A373,SUMIF(A:A, A374, G:G),"")</f>
        <v>3565</v>
      </c>
      <c r="I374">
        <v>3565</v>
      </c>
    </row>
    <row r="375" spans="1:9" x14ac:dyDescent="0.3">
      <c r="A375" s="4">
        <f t="shared" si="13"/>
        <v>45973</v>
      </c>
      <c r="B375" t="s">
        <v>15</v>
      </c>
      <c r="D375" s="1">
        <f>總表[[#This Row],[金額]]/總表[[#This Row],[單價]]</f>
        <v>0.125</v>
      </c>
      <c r="E375" s="5" t="str">
        <f>_xlfn.IFNA(VLOOKUP(B375,$B:$G,4,0),"")</f>
        <v>台斤</v>
      </c>
      <c r="F375" s="6">
        <v>80</v>
      </c>
      <c r="G375" s="7">
        <v>10</v>
      </c>
      <c r="H375" s="8" t="str">
        <f>IF(A375&lt;&gt;A374,SUMIF(A:A, A375, G:G),"")</f>
        <v/>
      </c>
    </row>
    <row r="376" spans="1:9" x14ac:dyDescent="0.3">
      <c r="A376" s="4">
        <f t="shared" si="13"/>
        <v>45973</v>
      </c>
      <c r="B376" t="s">
        <v>24</v>
      </c>
      <c r="D376" s="1">
        <f>總表[[#This Row],[金額]]/總表[[#This Row],[單價]]</f>
        <v>1</v>
      </c>
      <c r="E376" s="5" t="str">
        <f>_xlfn.IFNA(VLOOKUP(B376,$B:$G,4,0),"")</f>
        <v>台斤</v>
      </c>
      <c r="F376" s="6">
        <v>155</v>
      </c>
      <c r="G376" s="7">
        <v>155</v>
      </c>
      <c r="H376" s="8" t="str">
        <f>IF(A376&lt;&gt;A375,SUMIF(A:A, A376, G:G),"")</f>
        <v/>
      </c>
    </row>
    <row r="377" spans="1:9" x14ac:dyDescent="0.3">
      <c r="A377" s="4">
        <v>45975</v>
      </c>
      <c r="B377" t="s">
        <v>26</v>
      </c>
      <c r="D377" s="1">
        <f>總表[[#This Row],[金額]]/總表[[#This Row],[單價]]</f>
        <v>1</v>
      </c>
      <c r="E377" s="5" t="str">
        <f>_xlfn.IFNA(VLOOKUP(B377,$B:$G,4,0),"")</f>
        <v>包</v>
      </c>
      <c r="F377" s="6">
        <f>_xlfn.IFNA(VLOOKUP(B377,$B:$G,5,0),"")</f>
        <v>100</v>
      </c>
      <c r="G377" s="7">
        <v>100</v>
      </c>
      <c r="H377" s="8">
        <f>IF(A377&lt;&gt;A376,SUMIF(A:A, A377, G:G),"")</f>
        <v>1369</v>
      </c>
      <c r="I377">
        <v>1369</v>
      </c>
    </row>
    <row r="378" spans="1:9" x14ac:dyDescent="0.3">
      <c r="A378" s="4">
        <f t="shared" si="13"/>
        <v>45975</v>
      </c>
      <c r="B378" t="s">
        <v>44</v>
      </c>
      <c r="D378" s="1">
        <f>總表[[#This Row],[金額]]/總表[[#This Row],[單價]]</f>
        <v>0.25</v>
      </c>
      <c r="E378" s="5" t="str">
        <f>_xlfn.IFNA(VLOOKUP(B378,$B:$G,4,0),"")</f>
        <v>台斤</v>
      </c>
      <c r="F378" s="6">
        <f>_xlfn.IFNA(VLOOKUP(B378,$B:$G,5,0),"")</f>
        <v>300</v>
      </c>
      <c r="G378" s="7">
        <v>75</v>
      </c>
      <c r="H378" s="8" t="str">
        <f>IF(A378&lt;&gt;A377,SUMIF(A:A, A378, G:G),"")</f>
        <v/>
      </c>
    </row>
    <row r="379" spans="1:9" x14ac:dyDescent="0.3">
      <c r="A379" s="4">
        <f t="shared" si="13"/>
        <v>45975</v>
      </c>
      <c r="B379" t="s">
        <v>15</v>
      </c>
      <c r="D379" s="1">
        <f>總表[[#This Row],[金額]]/總表[[#This Row],[單價]]</f>
        <v>0.1875</v>
      </c>
      <c r="E379" s="5" t="str">
        <f>_xlfn.IFNA(VLOOKUP(B379,$B:$G,4,0),"")</f>
        <v>台斤</v>
      </c>
      <c r="F379" s="6">
        <v>80</v>
      </c>
      <c r="G379" s="7">
        <v>15</v>
      </c>
      <c r="H379" s="8" t="str">
        <f>IF(A379&lt;&gt;A378,SUMIF(A:A, A379, G:G),"")</f>
        <v/>
      </c>
    </row>
    <row r="380" spans="1:9" x14ac:dyDescent="0.3">
      <c r="A380" s="4">
        <f t="shared" si="13"/>
        <v>45975</v>
      </c>
      <c r="B380" t="s">
        <v>38</v>
      </c>
      <c r="D380" s="1">
        <f>總表[[#This Row],[金額]]/總表[[#This Row],[單價]]</f>
        <v>4</v>
      </c>
      <c r="E380" s="5" t="str">
        <f>_xlfn.IFNA(VLOOKUP(B380,$B:$G,4,0),"")</f>
        <v>盒</v>
      </c>
      <c r="F380" s="6">
        <v>85</v>
      </c>
      <c r="G380" s="7">
        <v>340</v>
      </c>
      <c r="H380" s="8" t="str">
        <f>IF(A380&lt;&gt;A379,SUMIF(A:A, A380, G:G),"")</f>
        <v/>
      </c>
    </row>
    <row r="381" spans="1:9" x14ac:dyDescent="0.3">
      <c r="A381" s="4">
        <f t="shared" si="13"/>
        <v>45975</v>
      </c>
      <c r="B381" t="s">
        <v>22</v>
      </c>
      <c r="D381" s="1">
        <f>總表[[#This Row],[金額]]/總表[[#This Row],[單價]]</f>
        <v>3.4473684210526314</v>
      </c>
      <c r="E381" s="5" t="str">
        <f>_xlfn.IFNA(VLOOKUP(B381,$B:$G,4,0),"")</f>
        <v>台斤</v>
      </c>
      <c r="F381" s="6">
        <v>38</v>
      </c>
      <c r="G381" s="7">
        <v>131</v>
      </c>
      <c r="H381" s="8" t="str">
        <f>IF(A381&lt;&gt;A380,SUMIF(A:A, A381, G:G),"")</f>
        <v/>
      </c>
    </row>
    <row r="382" spans="1:9" x14ac:dyDescent="0.3">
      <c r="A382" s="4">
        <f t="shared" si="13"/>
        <v>45975</v>
      </c>
      <c r="B382" t="s">
        <v>34</v>
      </c>
      <c r="D382" s="1">
        <f>總表[[#This Row],[金額]]/總表[[#This Row],[單價]]</f>
        <v>2</v>
      </c>
      <c r="E382" s="5" t="str">
        <f>_xlfn.IFNA(VLOOKUP(B382,$B:$G,4,0),"")</f>
        <v>台斤</v>
      </c>
      <c r="F382" s="6">
        <v>200</v>
      </c>
      <c r="G382" s="7">
        <v>400</v>
      </c>
      <c r="H382" s="8" t="str">
        <f>IF(A382&lt;&gt;A381,SUMIF(A:A, A382, G:G),"")</f>
        <v/>
      </c>
    </row>
    <row r="383" spans="1:9" x14ac:dyDescent="0.3">
      <c r="A383" s="4">
        <f t="shared" si="13"/>
        <v>45975</v>
      </c>
      <c r="B383" t="s">
        <v>18</v>
      </c>
      <c r="D383" s="1">
        <f>總表[[#This Row],[金額]]/總表[[#This Row],[單價]]</f>
        <v>1</v>
      </c>
      <c r="E383" s="5" t="str">
        <f>_xlfn.IFNA(VLOOKUP(B383,$B:$G,4,0),"")</f>
        <v>台斤</v>
      </c>
      <c r="F383" s="6">
        <v>145</v>
      </c>
      <c r="G383" s="7">
        <v>145</v>
      </c>
      <c r="H383" s="8" t="str">
        <f>IF(A383&lt;&gt;A382,SUMIF(A:A, A383, G:G),"")</f>
        <v/>
      </c>
    </row>
    <row r="384" spans="1:9" x14ac:dyDescent="0.3">
      <c r="A384" s="4">
        <f t="shared" si="13"/>
        <v>45975</v>
      </c>
      <c r="B384" t="s">
        <v>20</v>
      </c>
      <c r="D384" s="1">
        <f>總表[[#This Row],[金額]]/總表[[#This Row],[單價]]</f>
        <v>1.1241379310344828</v>
      </c>
      <c r="E384" s="5" t="str">
        <f>_xlfn.IFNA(VLOOKUP(B384,$B:$G,4,0),"")</f>
        <v>台斤</v>
      </c>
      <c r="F384" s="6">
        <v>145</v>
      </c>
      <c r="G384" s="7">
        <v>163</v>
      </c>
      <c r="H384" s="8" t="str">
        <f>IF(A384&lt;&gt;A383,SUMIF(A:A, A384, G:G),"")</f>
        <v/>
      </c>
    </row>
    <row r="385" spans="1:9" x14ac:dyDescent="0.3">
      <c r="A385" s="4">
        <v>45976</v>
      </c>
      <c r="B385" t="s">
        <v>28</v>
      </c>
      <c r="D385" s="1">
        <f>總表[[#This Row],[金額]]/總表[[#This Row],[單價]]</f>
        <v>1</v>
      </c>
      <c r="E385" s="5" t="str">
        <f>_xlfn.IFNA(VLOOKUP(B385,$B:$G,4,0),"")</f>
        <v>台斤</v>
      </c>
      <c r="F385" s="6">
        <f>_xlfn.IFNA(VLOOKUP(B385,$B:$G,5,0),"")</f>
        <v>120</v>
      </c>
      <c r="G385" s="7">
        <v>120</v>
      </c>
      <c r="H385" s="8">
        <f>IF(A385&lt;&gt;A384,SUMIF(A:A, A385, G:G),"")</f>
        <v>3013</v>
      </c>
      <c r="I385">
        <v>3013</v>
      </c>
    </row>
    <row r="386" spans="1:9" x14ac:dyDescent="0.3">
      <c r="A386" s="4">
        <f t="shared" si="13"/>
        <v>45976</v>
      </c>
      <c r="B386" t="s">
        <v>15</v>
      </c>
      <c r="D386" s="1">
        <f>總表[[#This Row],[金額]]/總表[[#This Row],[單價]]</f>
        <v>0.125</v>
      </c>
      <c r="E386" s="5" t="str">
        <f>_xlfn.IFNA(VLOOKUP(B386,$B:$G,4,0),"")</f>
        <v>台斤</v>
      </c>
      <c r="F386" s="6">
        <v>80</v>
      </c>
      <c r="G386" s="7">
        <v>10</v>
      </c>
      <c r="H386" s="8" t="str">
        <f>IF(A386&lt;&gt;A385,SUMIF(A:A, A386, G:G),"")</f>
        <v/>
      </c>
    </row>
    <row r="387" spans="1:9" x14ac:dyDescent="0.3">
      <c r="A387" s="4">
        <f t="shared" si="13"/>
        <v>45976</v>
      </c>
      <c r="B387" t="s">
        <v>44</v>
      </c>
      <c r="D387" s="1">
        <f>總表[[#This Row],[金額]]/總表[[#This Row],[單價]]</f>
        <v>0.25</v>
      </c>
      <c r="E387" s="5" t="str">
        <f>_xlfn.IFNA(VLOOKUP(B387,$B:$G,4,0),"")</f>
        <v>台斤</v>
      </c>
      <c r="F387" s="6">
        <f>_xlfn.IFNA(VLOOKUP(B387,$B:$G,5,0),"")</f>
        <v>300</v>
      </c>
      <c r="G387" s="7">
        <v>75</v>
      </c>
      <c r="H387" s="8" t="str">
        <f>IF(A387&lt;&gt;A386,SUMIF(A:A, A387, G:G),"")</f>
        <v/>
      </c>
    </row>
    <row r="388" spans="1:9" x14ac:dyDescent="0.3">
      <c r="A388" s="4">
        <f t="shared" si="13"/>
        <v>45976</v>
      </c>
      <c r="B388" t="s">
        <v>38</v>
      </c>
      <c r="D388" s="1">
        <f>總表[[#This Row],[金額]]/總表[[#This Row],[單價]]</f>
        <v>6</v>
      </c>
      <c r="E388" s="5" t="str">
        <f>_xlfn.IFNA(VLOOKUP(B388,$B:$G,4,0),"")</f>
        <v>盒</v>
      </c>
      <c r="F388" s="6">
        <v>85</v>
      </c>
      <c r="G388" s="7">
        <v>510</v>
      </c>
      <c r="H388" s="8" t="str">
        <f>IF(A388&lt;&gt;A387,SUMIF(A:A, A388, G:G),"")</f>
        <v/>
      </c>
    </row>
    <row r="389" spans="1:9" x14ac:dyDescent="0.3">
      <c r="A389" s="4">
        <f t="shared" si="13"/>
        <v>45976</v>
      </c>
      <c r="B389" t="s">
        <v>36</v>
      </c>
      <c r="D389" s="1">
        <f>總表[[#This Row],[金額]]/總表[[#This Row],[單價]]</f>
        <v>1</v>
      </c>
      <c r="E389" s="5" t="str">
        <f>_xlfn.IFNA(VLOOKUP(B389,$B:$G,4,0),"")</f>
        <v>台斤</v>
      </c>
      <c r="F389" s="6">
        <v>95</v>
      </c>
      <c r="G389" s="7">
        <v>95</v>
      </c>
      <c r="H389" s="8" t="str">
        <f>IF(A389&lt;&gt;A388,SUMIF(A:A, A389, G:G),"")</f>
        <v/>
      </c>
    </row>
    <row r="390" spans="1:9" x14ac:dyDescent="0.3">
      <c r="A390" s="4">
        <f t="shared" si="13"/>
        <v>45976</v>
      </c>
      <c r="B390" t="s">
        <v>48</v>
      </c>
      <c r="D390" s="1">
        <f>總表[[#This Row],[金額]]/總表[[#This Row],[單價]]</f>
        <v>0.5</v>
      </c>
      <c r="E390" s="5" t="str">
        <f>_xlfn.IFNA(VLOOKUP(B390,$B:$G,4,0),"")</f>
        <v>台斤</v>
      </c>
      <c r="F390" s="6">
        <v>150</v>
      </c>
      <c r="G390" s="7">
        <v>75</v>
      </c>
      <c r="H390" s="8" t="str">
        <f>IF(A390&lt;&gt;A389,SUMIF(A:A, A390, G:G),"")</f>
        <v/>
      </c>
    </row>
    <row r="391" spans="1:9" x14ac:dyDescent="0.3">
      <c r="A391" s="4">
        <f t="shared" si="13"/>
        <v>45976</v>
      </c>
      <c r="B391" t="s">
        <v>16</v>
      </c>
      <c r="D391" s="1">
        <f>總表[[#This Row],[金額]]/總表[[#This Row],[單價]]</f>
        <v>1</v>
      </c>
      <c r="E391" s="5" t="str">
        <f>_xlfn.IFNA(VLOOKUP(B391,$B:$G,4,0),"")</f>
        <v>台斤</v>
      </c>
      <c r="F391" s="6">
        <v>105</v>
      </c>
      <c r="G391" s="7">
        <v>105</v>
      </c>
      <c r="H391" s="8" t="str">
        <f>IF(A391&lt;&gt;A390,SUMIF(A:A, A391, G:G),"")</f>
        <v/>
      </c>
    </row>
    <row r="392" spans="1:9" x14ac:dyDescent="0.3">
      <c r="A392" s="4">
        <f t="shared" si="13"/>
        <v>45976</v>
      </c>
      <c r="B392" t="s">
        <v>30</v>
      </c>
      <c r="D392" s="1">
        <f>總表[[#This Row],[金額]]/總表[[#This Row],[單價]]</f>
        <v>4</v>
      </c>
      <c r="E392" s="5" t="str">
        <f>_xlfn.IFNA(VLOOKUP(B392,$B:$G,4,0),"")</f>
        <v>盒</v>
      </c>
      <c r="F392" s="6">
        <f>_xlfn.IFNA(VLOOKUP(B392,$B:$G,5,0),"")</f>
        <v>280</v>
      </c>
      <c r="G392" s="7">
        <v>1120</v>
      </c>
      <c r="H392" s="8" t="str">
        <f>IF(A392&lt;&gt;A391,SUMIF(A:A, A392, G:G),"")</f>
        <v/>
      </c>
    </row>
    <row r="393" spans="1:9" x14ac:dyDescent="0.3">
      <c r="A393" s="4">
        <f t="shared" si="13"/>
        <v>45976</v>
      </c>
      <c r="B393" t="s">
        <v>18</v>
      </c>
      <c r="D393" s="1">
        <f>總表[[#This Row],[金額]]/總表[[#This Row],[單價]]</f>
        <v>1</v>
      </c>
      <c r="E393" s="5" t="str">
        <f>_xlfn.IFNA(VLOOKUP(B393,$B:$G,4,0),"")</f>
        <v>台斤</v>
      </c>
      <c r="F393" s="6">
        <v>150</v>
      </c>
      <c r="G393" s="7">
        <v>150</v>
      </c>
      <c r="H393" s="8" t="str">
        <f>IF(A393&lt;&gt;A392,SUMIF(A:A, A393, G:G),"")</f>
        <v/>
      </c>
    </row>
    <row r="394" spans="1:9" x14ac:dyDescent="0.3">
      <c r="A394" s="4">
        <f t="shared" si="13"/>
        <v>45976</v>
      </c>
      <c r="B394" t="s">
        <v>20</v>
      </c>
      <c r="D394" s="1">
        <f>總表[[#This Row],[金額]]/總表[[#This Row],[單價]]</f>
        <v>1.2533333333333334</v>
      </c>
      <c r="E394" s="5" t="str">
        <f>_xlfn.IFNA(VLOOKUP(B394,$B:$G,4,0),"")</f>
        <v>台斤</v>
      </c>
      <c r="F394" s="6">
        <v>150</v>
      </c>
      <c r="G394" s="7">
        <v>188</v>
      </c>
      <c r="H394" s="8" t="str">
        <f>IF(A394&lt;&gt;A393,SUMIF(A:A, A394, G:G),"")</f>
        <v/>
      </c>
    </row>
    <row r="395" spans="1:9" x14ac:dyDescent="0.3">
      <c r="A395" s="4">
        <f t="shared" si="13"/>
        <v>45976</v>
      </c>
      <c r="B395" t="s">
        <v>24</v>
      </c>
      <c r="D395" s="1">
        <f>總表[[#This Row],[金額]]/總表[[#This Row],[單價]]</f>
        <v>3</v>
      </c>
      <c r="E395" s="5" t="str">
        <f>_xlfn.IFNA(VLOOKUP(B395,$B:$G,4,0),"")</f>
        <v>台斤</v>
      </c>
      <c r="F395" s="6">
        <f>_xlfn.IFNA(VLOOKUP(B395,$B:$G,5,0),"")</f>
        <v>155</v>
      </c>
      <c r="G395" s="7">
        <v>465</v>
      </c>
      <c r="H395" s="8" t="str">
        <f>IF(A395&lt;&gt;A394,SUMIF(A:A, A395, G:G),"")</f>
        <v/>
      </c>
    </row>
    <row r="396" spans="1:9" x14ac:dyDescent="0.3">
      <c r="A396" s="4">
        <f t="shared" si="13"/>
        <v>45976</v>
      </c>
      <c r="B396" t="s">
        <v>26</v>
      </c>
      <c r="D396" s="1">
        <f>總表[[#This Row],[金額]]/總表[[#This Row],[單價]]</f>
        <v>1</v>
      </c>
      <c r="E396" s="5" t="str">
        <f>_xlfn.IFNA(VLOOKUP(B396,$B:$G,4,0),"")</f>
        <v>包</v>
      </c>
      <c r="F396" s="6">
        <f>_xlfn.IFNA(VLOOKUP(B396,$B:$G,5,0),"")</f>
        <v>100</v>
      </c>
      <c r="G396" s="7">
        <v>100</v>
      </c>
      <c r="H396" s="8" t="str">
        <f>IF(A396&lt;&gt;A395,SUMIF(A:A, A396, G:G),"")</f>
        <v/>
      </c>
    </row>
    <row r="397" spans="1:9" x14ac:dyDescent="0.3">
      <c r="A397" s="4">
        <v>45977</v>
      </c>
      <c r="B397" t="s">
        <v>28</v>
      </c>
      <c r="D397" s="1">
        <f>總表[[#This Row],[金額]]/總表[[#This Row],[單價]]</f>
        <v>1</v>
      </c>
      <c r="E397" s="5" t="str">
        <f>_xlfn.IFNA(VLOOKUP(B397,$B:$G,4,0),"")</f>
        <v>台斤</v>
      </c>
      <c r="F397" s="6">
        <f>_xlfn.IFNA(VLOOKUP(B397,$B:$G,5,0),"")</f>
        <v>120</v>
      </c>
      <c r="G397" s="7">
        <v>120</v>
      </c>
      <c r="H397" s="8">
        <f>IF(A397&lt;&gt;A396,SUMIF(A:A, A397, G:G),"")</f>
        <v>2457</v>
      </c>
      <c r="I397">
        <v>2457</v>
      </c>
    </row>
    <row r="398" spans="1:9" x14ac:dyDescent="0.3">
      <c r="A398" s="4">
        <f t="shared" si="13"/>
        <v>45977</v>
      </c>
      <c r="B398" t="s">
        <v>64</v>
      </c>
      <c r="D398" s="1">
        <f>總表[[#This Row],[金額]]/總表[[#This Row],[單價]]</f>
        <v>0.12545454545454546</v>
      </c>
      <c r="E398" s="5" t="str">
        <f>_xlfn.IFNA(VLOOKUP(B398,$B:$G,4,0),"")</f>
        <v>台斤</v>
      </c>
      <c r="F398" s="6">
        <f>_xlfn.IFNA(VLOOKUP(B398,$B:$G,5,0),"")</f>
        <v>1100</v>
      </c>
      <c r="G398" s="7">
        <v>138</v>
      </c>
      <c r="H398" s="8" t="str">
        <f>IF(A398&lt;&gt;A397,SUMIF(A:A, A398, G:G),"")</f>
        <v/>
      </c>
    </row>
    <row r="399" spans="1:9" x14ac:dyDescent="0.3">
      <c r="A399" s="4">
        <f t="shared" si="13"/>
        <v>45977</v>
      </c>
      <c r="B399" t="s">
        <v>44</v>
      </c>
      <c r="D399" s="1">
        <f>總表[[#This Row],[金額]]/總表[[#This Row],[單價]]</f>
        <v>0.12666666666666668</v>
      </c>
      <c r="E399" s="5" t="str">
        <f>_xlfn.IFNA(VLOOKUP(B399,$B:$G,4,0),"")</f>
        <v>台斤</v>
      </c>
      <c r="F399" s="6">
        <f>_xlfn.IFNA(VLOOKUP(B399,$B:$G,5,0),"")</f>
        <v>300</v>
      </c>
      <c r="G399" s="7">
        <v>38</v>
      </c>
      <c r="H399" s="8" t="str">
        <f>IF(A399&lt;&gt;A398,SUMIF(A:A, A399, G:G),"")</f>
        <v/>
      </c>
    </row>
    <row r="400" spans="1:9" x14ac:dyDescent="0.3">
      <c r="A400" s="4">
        <f t="shared" si="13"/>
        <v>45977</v>
      </c>
      <c r="B400" t="s">
        <v>24</v>
      </c>
      <c r="D400" s="1">
        <f>總表[[#This Row],[金額]]/總表[[#This Row],[單價]]</f>
        <v>1</v>
      </c>
      <c r="E400" s="5" t="str">
        <f>_xlfn.IFNA(VLOOKUP(B400,$B:$G,4,0),"")</f>
        <v>台斤</v>
      </c>
      <c r="F400" s="6">
        <f>_xlfn.IFNA(VLOOKUP(B400,$B:$G,5,0),"")</f>
        <v>155</v>
      </c>
      <c r="G400" s="7">
        <v>155</v>
      </c>
      <c r="H400" s="8" t="str">
        <f>IF(A400&lt;&gt;A399,SUMIF(A:A, A400, G:G),"")</f>
        <v/>
      </c>
    </row>
    <row r="401" spans="1:9" x14ac:dyDescent="0.3">
      <c r="A401" s="4">
        <f t="shared" si="13"/>
        <v>45977</v>
      </c>
      <c r="B401" t="s">
        <v>38</v>
      </c>
      <c r="D401" s="1">
        <f>總表[[#This Row],[金額]]/總表[[#This Row],[單價]]</f>
        <v>3</v>
      </c>
      <c r="E401" s="5" t="str">
        <f>_xlfn.IFNA(VLOOKUP(B401,$B:$G,4,0),"")</f>
        <v>盒</v>
      </c>
      <c r="F401" s="6">
        <v>90</v>
      </c>
      <c r="G401" s="7">
        <v>270</v>
      </c>
      <c r="H401" s="8" t="str">
        <f>IF(A401&lt;&gt;A400,SUMIF(A:A, A401, G:G),"")</f>
        <v/>
      </c>
    </row>
    <row r="402" spans="1:9" x14ac:dyDescent="0.3">
      <c r="A402" s="4">
        <f t="shared" si="13"/>
        <v>45977</v>
      </c>
      <c r="B402" t="s">
        <v>48</v>
      </c>
      <c r="D402" s="1">
        <f>總表[[#This Row],[金額]]/總表[[#This Row],[單價]]</f>
        <v>0.68666666666666665</v>
      </c>
      <c r="E402" s="5" t="str">
        <f>_xlfn.IFNA(VLOOKUP(B402,$B:$G,4,0),"")</f>
        <v>台斤</v>
      </c>
      <c r="F402" s="6">
        <v>150</v>
      </c>
      <c r="G402" s="7">
        <v>103</v>
      </c>
      <c r="H402" s="8" t="str">
        <f>IF(A402&lt;&gt;A401,SUMIF(A:A, A402, G:G),"")</f>
        <v/>
      </c>
    </row>
    <row r="403" spans="1:9" x14ac:dyDescent="0.3">
      <c r="A403" s="4">
        <f t="shared" si="13"/>
        <v>45977</v>
      </c>
      <c r="B403" t="s">
        <v>36</v>
      </c>
      <c r="D403" s="1">
        <f>總表[[#This Row],[金額]]/總表[[#This Row],[單價]]</f>
        <v>1</v>
      </c>
      <c r="E403" s="5" t="str">
        <f>_xlfn.IFNA(VLOOKUP(B403,$B:$G,4,0),"")</f>
        <v>台斤</v>
      </c>
      <c r="F403" s="6">
        <v>95</v>
      </c>
      <c r="G403" s="7">
        <v>95</v>
      </c>
      <c r="H403" s="8" t="str">
        <f>IF(A403&lt;&gt;A402,SUMIF(A:A, A403, G:G),"")</f>
        <v/>
      </c>
    </row>
    <row r="404" spans="1:9" x14ac:dyDescent="0.3">
      <c r="A404" s="4">
        <f t="shared" si="13"/>
        <v>45977</v>
      </c>
      <c r="B404" t="s">
        <v>22</v>
      </c>
      <c r="D404" s="1">
        <f>總表[[#This Row],[金額]]/總表[[#This Row],[單價]]</f>
        <v>3.763157894736842</v>
      </c>
      <c r="E404" s="5" t="str">
        <f>_xlfn.IFNA(VLOOKUP(B404,$B:$G,4,0),"")</f>
        <v>台斤</v>
      </c>
      <c r="F404" s="6">
        <v>38</v>
      </c>
      <c r="G404" s="7">
        <v>143</v>
      </c>
      <c r="H404" s="8" t="str">
        <f>IF(A404&lt;&gt;A403,SUMIF(A:A, A404, G:G),"")</f>
        <v/>
      </c>
    </row>
    <row r="405" spans="1:9" x14ac:dyDescent="0.3">
      <c r="A405" s="4">
        <f t="shared" si="13"/>
        <v>45977</v>
      </c>
      <c r="B405" t="s">
        <v>32</v>
      </c>
      <c r="D405" s="1">
        <f>總表[[#This Row],[金額]]/總表[[#This Row],[單價]]</f>
        <v>0.625</v>
      </c>
      <c r="E405" s="5" t="str">
        <f>_xlfn.IFNA(VLOOKUP(B405,$B:$G,4,0),"")</f>
        <v>台斤</v>
      </c>
      <c r="F405" s="6">
        <f>_xlfn.IFNA(VLOOKUP(B405,$B:$G,5,0),"")</f>
        <v>240</v>
      </c>
      <c r="G405" s="7">
        <v>150</v>
      </c>
      <c r="H405" s="8" t="str">
        <f>IF(A405&lt;&gt;A404,SUMIF(A:A, A405, G:G),"")</f>
        <v/>
      </c>
    </row>
    <row r="406" spans="1:9" x14ac:dyDescent="0.3">
      <c r="A406" s="4">
        <f t="shared" si="13"/>
        <v>45977</v>
      </c>
      <c r="B406" t="s">
        <v>58</v>
      </c>
      <c r="D406" s="1">
        <f>總表[[#This Row],[金額]]/總表[[#This Row],[單價]]</f>
        <v>3</v>
      </c>
      <c r="E406" s="5" t="str">
        <f>_xlfn.IFNA(VLOOKUP(B406,$B:$G,4,0),"")</f>
        <v>盒</v>
      </c>
      <c r="F406" s="6">
        <v>85</v>
      </c>
      <c r="G406" s="7">
        <v>255</v>
      </c>
      <c r="H406" s="8" t="str">
        <f>IF(A406&lt;&gt;A405,SUMIF(A:A, A406, G:G),"")</f>
        <v/>
      </c>
    </row>
    <row r="407" spans="1:9" x14ac:dyDescent="0.3">
      <c r="A407" s="4">
        <f t="shared" si="13"/>
        <v>45977</v>
      </c>
      <c r="B407" t="s">
        <v>30</v>
      </c>
      <c r="D407" s="1">
        <f>總表[[#This Row],[金額]]/總表[[#This Row],[單價]]</f>
        <v>3</v>
      </c>
      <c r="E407" s="5" t="str">
        <f>_xlfn.IFNA(VLOOKUP(B407,$B:$G,4,0),"")</f>
        <v>盒</v>
      </c>
      <c r="F407" s="6">
        <f>_xlfn.IFNA(VLOOKUP(B407,$B:$G,5,0),"")</f>
        <v>280</v>
      </c>
      <c r="G407" s="7">
        <v>840</v>
      </c>
      <c r="H407" s="8" t="str">
        <f>IF(A407&lt;&gt;A406,SUMIF(A:A, A407, G:G),"")</f>
        <v/>
      </c>
    </row>
    <row r="408" spans="1:9" x14ac:dyDescent="0.3">
      <c r="A408" s="4">
        <f t="shared" si="13"/>
        <v>45977</v>
      </c>
      <c r="B408" t="s">
        <v>54</v>
      </c>
      <c r="D408" s="1">
        <f>總表[[#This Row],[金額]]/總表[[#This Row],[單價]]</f>
        <v>1</v>
      </c>
      <c r="E408" s="5" t="str">
        <f>_xlfn.IFNA(VLOOKUP(B408,$B:$G,4,0),"")</f>
        <v>包</v>
      </c>
      <c r="F408" s="6">
        <f>_xlfn.IFNA(VLOOKUP(B408,$B:$G,5,0),"")</f>
        <v>150</v>
      </c>
      <c r="G408" s="7">
        <v>150</v>
      </c>
      <c r="H408" s="8" t="str">
        <f>IF(A408&lt;&gt;A407,SUMIF(A:A, A408, G:G),"")</f>
        <v/>
      </c>
    </row>
    <row r="409" spans="1:9" x14ac:dyDescent="0.3">
      <c r="A409" s="4">
        <v>45980</v>
      </c>
      <c r="B409" t="s">
        <v>38</v>
      </c>
      <c r="D409" s="1">
        <f>總表[[#This Row],[金額]]/總表[[#This Row],[單價]]</f>
        <v>6</v>
      </c>
      <c r="E409" s="5" t="str">
        <f>_xlfn.IFNA(VLOOKUP(B409,$B:$G,4,0),"")</f>
        <v>盒</v>
      </c>
      <c r="F409" s="6">
        <v>90</v>
      </c>
      <c r="G409" s="7">
        <v>540</v>
      </c>
      <c r="H409" s="8">
        <f>IF(A409&lt;&gt;A408,SUMIF(A:A, A409, G:G),"")</f>
        <v>5859</v>
      </c>
      <c r="I409">
        <v>5859</v>
      </c>
    </row>
    <row r="410" spans="1:9" x14ac:dyDescent="0.3">
      <c r="A410" s="4">
        <f t="shared" si="13"/>
        <v>45980</v>
      </c>
      <c r="B410" t="s">
        <v>58</v>
      </c>
      <c r="D410" s="1">
        <f>總表[[#This Row],[金額]]/總表[[#This Row],[單價]]</f>
        <v>4</v>
      </c>
      <c r="E410" s="5" t="str">
        <f>_xlfn.IFNA(VLOOKUP(B410,$B:$G,4,0),"")</f>
        <v>盒</v>
      </c>
      <c r="F410" s="6">
        <v>90</v>
      </c>
      <c r="G410" s="7">
        <v>360</v>
      </c>
      <c r="H410" s="8" t="str">
        <f>IF(A410&lt;&gt;A409,SUMIF(A:A, A410, G:G),"")</f>
        <v/>
      </c>
    </row>
    <row r="411" spans="1:9" x14ac:dyDescent="0.3">
      <c r="A411" s="4">
        <f t="shared" si="13"/>
        <v>45980</v>
      </c>
      <c r="B411" t="s">
        <v>48</v>
      </c>
      <c r="D411" s="1">
        <f>總表[[#This Row],[金額]]/總表[[#This Row],[單價]]</f>
        <v>0.5</v>
      </c>
      <c r="E411" s="5" t="str">
        <f>_xlfn.IFNA(VLOOKUP(B411,$B:$G,4,0),"")</f>
        <v>台斤</v>
      </c>
      <c r="F411" s="6">
        <v>150</v>
      </c>
      <c r="G411" s="7">
        <v>75</v>
      </c>
      <c r="H411" s="8" t="str">
        <f>IF(A411&lt;&gt;A410,SUMIF(A:A, A411, G:G),"")</f>
        <v/>
      </c>
    </row>
    <row r="412" spans="1:9" x14ac:dyDescent="0.3">
      <c r="A412" s="4">
        <f t="shared" si="13"/>
        <v>45980</v>
      </c>
      <c r="B412" t="s">
        <v>36</v>
      </c>
      <c r="D412" s="1">
        <f>總表[[#This Row],[金額]]/總表[[#This Row],[單價]]</f>
        <v>1</v>
      </c>
      <c r="E412" s="5" t="str">
        <f>_xlfn.IFNA(VLOOKUP(B412,$B:$G,4,0),"")</f>
        <v>台斤</v>
      </c>
      <c r="F412" s="6">
        <v>95</v>
      </c>
      <c r="G412" s="7">
        <v>95</v>
      </c>
      <c r="H412" s="8" t="str">
        <f>IF(A412&lt;&gt;A411,SUMIF(A:A, A412, G:G),"")</f>
        <v/>
      </c>
    </row>
    <row r="413" spans="1:9" x14ac:dyDescent="0.3">
      <c r="A413" s="4">
        <f t="shared" si="13"/>
        <v>45980</v>
      </c>
      <c r="B413" t="s">
        <v>24</v>
      </c>
      <c r="D413" s="1">
        <f>總表[[#This Row],[金額]]/總表[[#This Row],[單價]]</f>
        <v>1</v>
      </c>
      <c r="E413" s="5" t="str">
        <f>_xlfn.IFNA(VLOOKUP(B413,$B:$G,4,0),"")</f>
        <v>台斤</v>
      </c>
      <c r="F413" s="6">
        <v>155</v>
      </c>
      <c r="G413" s="7">
        <v>155</v>
      </c>
      <c r="H413" s="8" t="str">
        <f>IF(A413&lt;&gt;A412,SUMIF(A:A, A413, G:G),"")</f>
        <v/>
      </c>
    </row>
    <row r="414" spans="1:9" x14ac:dyDescent="0.3">
      <c r="A414" s="4">
        <f t="shared" si="13"/>
        <v>45980</v>
      </c>
      <c r="B414" t="s">
        <v>34</v>
      </c>
      <c r="D414" s="1">
        <f>總表[[#This Row],[金額]]/總表[[#This Row],[單價]]</f>
        <v>2.75</v>
      </c>
      <c r="E414" s="5" t="str">
        <f>_xlfn.IFNA(VLOOKUP(B414,$B:$G,4,0),"")</f>
        <v>台斤</v>
      </c>
      <c r="F414" s="6">
        <v>200</v>
      </c>
      <c r="G414" s="7">
        <v>550</v>
      </c>
      <c r="H414" s="8" t="str">
        <f>IF(A414&lt;&gt;A413,SUMIF(A:A, A414, G:G),"")</f>
        <v/>
      </c>
    </row>
    <row r="415" spans="1:9" x14ac:dyDescent="0.3">
      <c r="A415" s="4">
        <f t="shared" si="13"/>
        <v>45980</v>
      </c>
      <c r="B415" t="s">
        <v>18</v>
      </c>
      <c r="D415" s="1">
        <f>總表[[#This Row],[金額]]/總表[[#This Row],[單價]]</f>
        <v>2</v>
      </c>
      <c r="E415" s="5" t="str">
        <f>_xlfn.IFNA(VLOOKUP(B415,$B:$G,4,0),"")</f>
        <v>台斤</v>
      </c>
      <c r="F415" s="6">
        <v>150</v>
      </c>
      <c r="G415" s="7">
        <v>300</v>
      </c>
      <c r="H415" s="8" t="str">
        <f>IF(A415&lt;&gt;A414,SUMIF(A:A, A415, G:G),"")</f>
        <v/>
      </c>
    </row>
    <row r="416" spans="1:9" x14ac:dyDescent="0.3">
      <c r="A416" s="4">
        <f t="shared" si="13"/>
        <v>45980</v>
      </c>
      <c r="B416" t="s">
        <v>20</v>
      </c>
      <c r="D416" s="1">
        <f>總表[[#This Row],[金額]]/總表[[#This Row],[單價]]</f>
        <v>2.1266666666666665</v>
      </c>
      <c r="E416" s="5" t="str">
        <f>_xlfn.IFNA(VLOOKUP(B416,$B:$G,4,0),"")</f>
        <v>台斤</v>
      </c>
      <c r="F416" s="6">
        <v>150</v>
      </c>
      <c r="G416" s="7">
        <v>319</v>
      </c>
      <c r="H416" s="8" t="str">
        <f>IF(A416&lt;&gt;A415,SUMIF(A:A, A416, G:G),"")</f>
        <v/>
      </c>
    </row>
    <row r="417" spans="1:9" x14ac:dyDescent="0.3">
      <c r="A417" s="4">
        <f t="shared" si="13"/>
        <v>45980</v>
      </c>
      <c r="B417" t="s">
        <v>28</v>
      </c>
      <c r="D417" s="1">
        <f>總表[[#This Row],[金額]]/總表[[#This Row],[單價]]</f>
        <v>1</v>
      </c>
      <c r="E417" s="5" t="str">
        <f>_xlfn.IFNA(VLOOKUP(B417,$B:$G,4,0),"")</f>
        <v>台斤</v>
      </c>
      <c r="F417" s="6">
        <f>_xlfn.IFNA(VLOOKUP(B417,$B:$G,5,0),"")</f>
        <v>120</v>
      </c>
      <c r="G417" s="7">
        <v>120</v>
      </c>
      <c r="H417" s="8" t="str">
        <f>IF(A417&lt;&gt;A416,SUMIF(A:A, A417, G:G),"")</f>
        <v/>
      </c>
    </row>
    <row r="418" spans="1:9" x14ac:dyDescent="0.3">
      <c r="A418" s="4">
        <f t="shared" si="13"/>
        <v>45980</v>
      </c>
      <c r="B418" t="s">
        <v>78</v>
      </c>
      <c r="D418" s="1">
        <f>總表[[#This Row],[金額]]/總表[[#This Row],[單價]]</f>
        <v>6</v>
      </c>
      <c r="E418" s="5" t="str">
        <f>_xlfn.IFNA(VLOOKUP(B418,$B:$G,4,0),"")</f>
        <v>台斤</v>
      </c>
      <c r="F418" s="6">
        <f>_xlfn.IFNA(VLOOKUP(B418,$B:$G,5,0),"")</f>
        <v>200</v>
      </c>
      <c r="G418" s="7">
        <v>1200</v>
      </c>
      <c r="H418" s="8" t="str">
        <f>IF(A418&lt;&gt;A417,SUMIF(A:A, A418, G:G),"")</f>
        <v/>
      </c>
    </row>
    <row r="419" spans="1:9" x14ac:dyDescent="0.3">
      <c r="A419" s="4">
        <f t="shared" si="13"/>
        <v>45980</v>
      </c>
      <c r="B419" t="s">
        <v>40</v>
      </c>
      <c r="D419" s="1">
        <f>總表[[#This Row],[金額]]/總表[[#This Row],[單價]]</f>
        <v>15</v>
      </c>
      <c r="E419" s="5" t="str">
        <f>_xlfn.IFNA(VLOOKUP(B419,$B:$G,4,0),"")</f>
        <v>台斤</v>
      </c>
      <c r="F419" s="6">
        <v>135</v>
      </c>
      <c r="G419" s="7">
        <v>2025</v>
      </c>
      <c r="H419" s="8" t="str">
        <f>IF(A419&lt;&gt;A418,SUMIF(A:A, A419, G:G),"")</f>
        <v/>
      </c>
    </row>
    <row r="420" spans="1:9" x14ac:dyDescent="0.3">
      <c r="A420" s="4">
        <f t="shared" si="13"/>
        <v>45980</v>
      </c>
      <c r="B420" t="s">
        <v>22</v>
      </c>
      <c r="D420" s="1">
        <f>總表[[#This Row],[金額]]/總表[[#This Row],[單價]]</f>
        <v>2.6315789473684212</v>
      </c>
      <c r="E420" s="5" t="str">
        <f>_xlfn.IFNA(VLOOKUP(B420,$B:$G,4,0),"")</f>
        <v>台斤</v>
      </c>
      <c r="F420" s="6">
        <v>38</v>
      </c>
      <c r="G420" s="7">
        <v>100</v>
      </c>
      <c r="H420" s="8" t="str">
        <f>IF(A420&lt;&gt;A419,SUMIF(A:A, A420, G:G),"")</f>
        <v/>
      </c>
    </row>
    <row r="421" spans="1:9" x14ac:dyDescent="0.3">
      <c r="A421" s="4">
        <f t="shared" si="13"/>
        <v>45980</v>
      </c>
      <c r="B421" t="s">
        <v>15</v>
      </c>
      <c r="D421" s="1">
        <f>總表[[#This Row],[金額]]/總表[[#This Row],[單價]]</f>
        <v>0.25</v>
      </c>
      <c r="E421" s="5" t="str">
        <f>_xlfn.IFNA(VLOOKUP(B421,$B:$G,4,0),"")</f>
        <v>台斤</v>
      </c>
      <c r="F421" s="6">
        <v>80</v>
      </c>
      <c r="G421" s="7">
        <v>20</v>
      </c>
      <c r="H421" s="8" t="str">
        <f>IF(A421&lt;&gt;A420,SUMIF(A:A, A421, G:G),"")</f>
        <v/>
      </c>
    </row>
    <row r="422" spans="1:9" x14ac:dyDescent="0.3">
      <c r="A422" s="4">
        <v>45982</v>
      </c>
      <c r="B422" t="s">
        <v>50</v>
      </c>
      <c r="D422" s="1">
        <f>總表[[#This Row],[金額]]/總表[[#This Row],[單價]]</f>
        <v>2</v>
      </c>
      <c r="E422" s="5" t="str">
        <f>_xlfn.IFNA(VLOOKUP(B422,$B:$G,4,0),"")</f>
        <v>台斤</v>
      </c>
      <c r="F422" s="6">
        <v>160</v>
      </c>
      <c r="G422" s="7">
        <v>320</v>
      </c>
      <c r="H422" s="8">
        <f>IF(A422&lt;&gt;A421,SUMIF(A:A, A422, G:G),"")</f>
        <v>985</v>
      </c>
      <c r="I422">
        <v>985</v>
      </c>
    </row>
    <row r="423" spans="1:9" x14ac:dyDescent="0.3">
      <c r="A423" s="4">
        <f t="shared" si="13"/>
        <v>45982</v>
      </c>
      <c r="B423" t="s">
        <v>22</v>
      </c>
      <c r="D423" s="1">
        <f>總表[[#This Row],[金額]]/總表[[#This Row],[單價]]</f>
        <v>3.5526315789473686</v>
      </c>
      <c r="E423" s="5" t="str">
        <f>_xlfn.IFNA(VLOOKUP(B423,$B:$G,4,0),"")</f>
        <v>台斤</v>
      </c>
      <c r="F423" s="6">
        <v>38</v>
      </c>
      <c r="G423" s="7">
        <v>135</v>
      </c>
      <c r="H423" s="8" t="str">
        <f>IF(A423&lt;&gt;A422,SUMIF(A:A, A423, G:G),"")</f>
        <v/>
      </c>
    </row>
    <row r="424" spans="1:9" x14ac:dyDescent="0.3">
      <c r="A424" s="4">
        <f t="shared" si="13"/>
        <v>45982</v>
      </c>
      <c r="B424" t="s">
        <v>24</v>
      </c>
      <c r="D424" s="1">
        <f>總表[[#This Row],[金額]]/總表[[#This Row],[單價]]</f>
        <v>1</v>
      </c>
      <c r="E424" s="5" t="str">
        <f>_xlfn.IFNA(VLOOKUP(B424,$B:$G,4,0),"")</f>
        <v>台斤</v>
      </c>
      <c r="F424" s="6">
        <v>155</v>
      </c>
      <c r="G424" s="7">
        <v>155</v>
      </c>
      <c r="H424" s="8" t="str">
        <f>IF(A424&lt;&gt;A423,SUMIF(A:A, A424, G:G),"")</f>
        <v/>
      </c>
    </row>
    <row r="425" spans="1:9" x14ac:dyDescent="0.3">
      <c r="A425" s="4">
        <f t="shared" si="13"/>
        <v>45982</v>
      </c>
      <c r="B425" t="s">
        <v>44</v>
      </c>
      <c r="D425" s="1">
        <f>總表[[#This Row],[金額]]/總表[[#This Row],[單價]]</f>
        <v>0.25</v>
      </c>
      <c r="E425" s="5" t="str">
        <f>_xlfn.IFNA(VLOOKUP(B425,$B:$G,4,0),"")</f>
        <v>台斤</v>
      </c>
      <c r="F425" s="6">
        <f>_xlfn.IFNA(VLOOKUP(B425,$B:$G,5,0),"")</f>
        <v>300</v>
      </c>
      <c r="G425" s="7">
        <v>75</v>
      </c>
      <c r="H425" s="8" t="str">
        <f>IF(A425&lt;&gt;A424,SUMIF(A:A, A425, G:G),"")</f>
        <v/>
      </c>
    </row>
    <row r="426" spans="1:9" x14ac:dyDescent="0.3">
      <c r="A426" s="4">
        <f t="shared" si="13"/>
        <v>45982</v>
      </c>
      <c r="B426" t="s">
        <v>28</v>
      </c>
      <c r="D426" s="1">
        <f>總表[[#This Row],[金額]]/總表[[#This Row],[單價]]</f>
        <v>1</v>
      </c>
      <c r="E426" s="5" t="str">
        <f>_xlfn.IFNA(VLOOKUP(B426,$B:$G,4,0),"")</f>
        <v>台斤</v>
      </c>
      <c r="F426" s="6">
        <v>120</v>
      </c>
      <c r="G426" s="7">
        <v>120</v>
      </c>
      <c r="H426" s="8" t="str">
        <f>IF(A426&lt;&gt;A425,SUMIF(A:A, A426, G:G),"")</f>
        <v/>
      </c>
    </row>
    <row r="427" spans="1:9" x14ac:dyDescent="0.3">
      <c r="A427" s="4">
        <f t="shared" si="13"/>
        <v>45982</v>
      </c>
      <c r="B427" t="s">
        <v>38</v>
      </c>
      <c r="D427" s="1">
        <f>總表[[#This Row],[金額]]/總表[[#This Row],[單價]]</f>
        <v>2</v>
      </c>
      <c r="E427" s="5" t="str">
        <f>_xlfn.IFNA(VLOOKUP(B427,$B:$G,4,0),"")</f>
        <v>盒</v>
      </c>
      <c r="F427" s="6">
        <v>90</v>
      </c>
      <c r="G427" s="7">
        <v>180</v>
      </c>
      <c r="H427" s="8" t="str">
        <f>IF(A427&lt;&gt;A426,SUMIF(A:A, A427, G:G),"")</f>
        <v/>
      </c>
    </row>
    <row r="428" spans="1:9" x14ac:dyDescent="0.3">
      <c r="A428" s="4">
        <v>45983</v>
      </c>
      <c r="B428" t="s">
        <v>26</v>
      </c>
      <c r="D428" s="1">
        <f>總表[[#This Row],[金額]]/總表[[#This Row],[單價]]</f>
        <v>1</v>
      </c>
      <c r="E428" s="5" t="str">
        <f>_xlfn.IFNA(VLOOKUP(B428,$B:$G,4,0),"")</f>
        <v>包</v>
      </c>
      <c r="F428" s="6">
        <f>_xlfn.IFNA(VLOOKUP(B428,$B:$G,5,0),"")</f>
        <v>100</v>
      </c>
      <c r="G428" s="7">
        <v>100</v>
      </c>
      <c r="H428" s="8">
        <f>IF(A428&lt;&gt;A427,SUMIF(A:A, A428, G:G),"")</f>
        <v>2049</v>
      </c>
      <c r="I428">
        <v>2049</v>
      </c>
    </row>
    <row r="429" spans="1:9" x14ac:dyDescent="0.3">
      <c r="A429" s="4">
        <f t="shared" si="13"/>
        <v>45983</v>
      </c>
      <c r="B429" t="s">
        <v>44</v>
      </c>
      <c r="D429" s="1">
        <f>總表[[#This Row],[金額]]/總表[[#This Row],[單價]]</f>
        <v>0.18666666666666668</v>
      </c>
      <c r="E429" s="5" t="str">
        <f>_xlfn.IFNA(VLOOKUP(B429,$B:$G,4,0),"")</f>
        <v>台斤</v>
      </c>
      <c r="F429" s="6">
        <f>_xlfn.IFNA(VLOOKUP(B429,$B:$G,5,0),"")</f>
        <v>300</v>
      </c>
      <c r="G429" s="7">
        <v>56</v>
      </c>
      <c r="H429" s="8" t="str">
        <f>IF(A429&lt;&gt;A428,SUMIF(A:A, A429, G:G),"")</f>
        <v/>
      </c>
    </row>
    <row r="430" spans="1:9" x14ac:dyDescent="0.3">
      <c r="A430" s="4">
        <f t="shared" si="13"/>
        <v>45983</v>
      </c>
      <c r="B430" t="s">
        <v>15</v>
      </c>
      <c r="D430" s="1">
        <f>總表[[#This Row],[金額]]/總表[[#This Row],[單價]]</f>
        <v>0.1875</v>
      </c>
      <c r="E430" s="5" t="str">
        <f>_xlfn.IFNA(VLOOKUP(B430,$B:$G,4,0),"")</f>
        <v>台斤</v>
      </c>
      <c r="F430" s="6">
        <v>80</v>
      </c>
      <c r="G430" s="7">
        <v>15</v>
      </c>
      <c r="H430" s="8" t="str">
        <f>IF(A430&lt;&gt;A429,SUMIF(A:A, A430, G:G),"")</f>
        <v/>
      </c>
    </row>
    <row r="431" spans="1:9" x14ac:dyDescent="0.3">
      <c r="A431" s="4">
        <f t="shared" ref="A431:A449" si="14">IF(B431="","",A430)</f>
        <v>45983</v>
      </c>
      <c r="B431" t="s">
        <v>38</v>
      </c>
      <c r="D431" s="1">
        <f>總表[[#This Row],[金額]]/總表[[#This Row],[單價]]</f>
        <v>3</v>
      </c>
      <c r="E431" s="5" t="str">
        <f>_xlfn.IFNA(VLOOKUP(B431,$B:$G,4,0),"")</f>
        <v>盒</v>
      </c>
      <c r="F431" s="6">
        <v>90</v>
      </c>
      <c r="G431" s="7">
        <v>270</v>
      </c>
      <c r="H431" s="8" t="str">
        <f>IF(A431&lt;&gt;A430,SUMIF(A:A, A431, G:G),"")</f>
        <v/>
      </c>
    </row>
    <row r="432" spans="1:9" x14ac:dyDescent="0.3">
      <c r="A432" s="4">
        <f t="shared" si="14"/>
        <v>45983</v>
      </c>
      <c r="B432" t="s">
        <v>16</v>
      </c>
      <c r="D432" s="1">
        <f>總表[[#This Row],[金額]]/總表[[#This Row],[單價]]</f>
        <v>1</v>
      </c>
      <c r="E432" s="5" t="str">
        <f>_xlfn.IFNA(VLOOKUP(B432,$B:$G,4,0),"")</f>
        <v>台斤</v>
      </c>
      <c r="F432" s="6">
        <v>120</v>
      </c>
      <c r="G432" s="7">
        <v>120</v>
      </c>
      <c r="H432" s="8" t="str">
        <f>IF(A432&lt;&gt;A431,SUMIF(A:A, A432, G:G),"")</f>
        <v/>
      </c>
    </row>
    <row r="433" spans="1:9" x14ac:dyDescent="0.3">
      <c r="A433" s="4">
        <f t="shared" si="14"/>
        <v>45983</v>
      </c>
      <c r="B433" t="s">
        <v>18</v>
      </c>
      <c r="D433" s="1">
        <f>總表[[#This Row],[金額]]/總表[[#This Row],[單價]]</f>
        <v>1.1266666666666667</v>
      </c>
      <c r="E433" s="5" t="str">
        <f>_xlfn.IFNA(VLOOKUP(B433,$B:$G,4,0),"")</f>
        <v>台斤</v>
      </c>
      <c r="F433" s="6">
        <v>150</v>
      </c>
      <c r="G433" s="7">
        <v>169</v>
      </c>
      <c r="H433" s="8" t="str">
        <f>IF(A433&lt;&gt;A432,SUMIF(A:A, A433, G:G),"")</f>
        <v/>
      </c>
    </row>
    <row r="434" spans="1:9" x14ac:dyDescent="0.3">
      <c r="A434" s="4">
        <f t="shared" si="14"/>
        <v>45983</v>
      </c>
      <c r="B434" t="s">
        <v>20</v>
      </c>
      <c r="D434" s="1">
        <f>總表[[#This Row],[金額]]/總表[[#This Row],[單價]]</f>
        <v>1.1266666666666667</v>
      </c>
      <c r="E434" s="5" t="str">
        <f>_xlfn.IFNA(VLOOKUP(B434,$B:$G,4,0),"")</f>
        <v>台斤</v>
      </c>
      <c r="F434" s="6">
        <v>150</v>
      </c>
      <c r="G434" s="7">
        <v>169</v>
      </c>
      <c r="H434" s="8" t="str">
        <f>IF(A434&lt;&gt;A433,SUMIF(A:A, A434, G:G),"")</f>
        <v/>
      </c>
    </row>
    <row r="435" spans="1:9" x14ac:dyDescent="0.3">
      <c r="A435" s="4">
        <f t="shared" si="14"/>
        <v>45983</v>
      </c>
      <c r="B435" t="s">
        <v>24</v>
      </c>
      <c r="D435" s="1">
        <f>總表[[#This Row],[金額]]/總表[[#This Row],[單價]]</f>
        <v>2</v>
      </c>
      <c r="E435" s="5" t="str">
        <f>_xlfn.IFNA(VLOOKUP(B435,$B:$G,4,0),"")</f>
        <v>台斤</v>
      </c>
      <c r="F435" s="6">
        <f>_xlfn.IFNA(VLOOKUP(B435,$B:$G,5,0),"")</f>
        <v>155</v>
      </c>
      <c r="G435" s="7">
        <v>310</v>
      </c>
      <c r="H435" s="8" t="str">
        <f>IF(A435&lt;&gt;A434,SUMIF(A:A, A435, G:G),"")</f>
        <v/>
      </c>
    </row>
    <row r="436" spans="1:9" x14ac:dyDescent="0.3">
      <c r="A436" s="4">
        <f t="shared" si="14"/>
        <v>45983</v>
      </c>
      <c r="B436" t="s">
        <v>30</v>
      </c>
      <c r="D436" s="1">
        <f>總表[[#This Row],[金額]]/總表[[#This Row],[單價]]</f>
        <v>3</v>
      </c>
      <c r="E436" s="5" t="str">
        <f>_xlfn.IFNA(VLOOKUP(B436,$B:$G,4,0),"")</f>
        <v>盒</v>
      </c>
      <c r="F436" s="6">
        <f>_xlfn.IFNA(VLOOKUP(B436,$B:$G,5,0),"")</f>
        <v>280</v>
      </c>
      <c r="G436" s="7">
        <v>840</v>
      </c>
      <c r="H436" s="8" t="str">
        <f>IF(A436&lt;&gt;A435,SUMIF(A:A, A436, G:G),"")</f>
        <v/>
      </c>
    </row>
    <row r="437" spans="1:9" x14ac:dyDescent="0.3">
      <c r="A437" s="4">
        <v>45987</v>
      </c>
      <c r="B437" t="s">
        <v>24</v>
      </c>
      <c r="D437" s="1">
        <f>總表[[#This Row],[金額]]/總表[[#This Row],[單價]]</f>
        <v>2</v>
      </c>
      <c r="E437" s="5" t="str">
        <f>_xlfn.IFNA(VLOOKUP(B437,$B:$G,4,0),"")</f>
        <v>台斤</v>
      </c>
      <c r="F437" s="6">
        <f>_xlfn.IFNA(VLOOKUP(B437,$B:$G,5,0),"")</f>
        <v>155</v>
      </c>
      <c r="G437" s="7">
        <v>310</v>
      </c>
      <c r="H437" s="8">
        <f>IF(A437&lt;&gt;A436,SUMIF(A:A, A437, G:G),"")</f>
        <v>5212</v>
      </c>
      <c r="I437">
        <v>5212</v>
      </c>
    </row>
    <row r="438" spans="1:9" x14ac:dyDescent="0.3">
      <c r="A438" s="4">
        <f t="shared" si="14"/>
        <v>45987</v>
      </c>
      <c r="B438" t="s">
        <v>44</v>
      </c>
      <c r="D438" s="1">
        <f>總表[[#This Row],[金額]]/總表[[#This Row],[單價]]</f>
        <v>0.25</v>
      </c>
      <c r="E438" s="5" t="str">
        <f>_xlfn.IFNA(VLOOKUP(B438,$B:$G,4,0),"")</f>
        <v>台斤</v>
      </c>
      <c r="F438" s="6">
        <f>_xlfn.IFNA(VLOOKUP(B438,$B:$G,5,0),"")</f>
        <v>300</v>
      </c>
      <c r="G438" s="7">
        <v>75</v>
      </c>
      <c r="H438" s="8" t="str">
        <f>IF(A438&lt;&gt;A437,SUMIF(A:A, A438, G:G),"")</f>
        <v/>
      </c>
    </row>
    <row r="439" spans="1:9" x14ac:dyDescent="0.3">
      <c r="A439" s="4">
        <f t="shared" si="14"/>
        <v>45987</v>
      </c>
      <c r="B439" t="s">
        <v>64</v>
      </c>
      <c r="D439" s="1">
        <f>總表[[#This Row],[金額]]/總表[[#This Row],[單價]]</f>
        <v>0.12545454545454546</v>
      </c>
      <c r="E439" s="5" t="str">
        <f>_xlfn.IFNA(VLOOKUP(B439,$B:$G,4,0),"")</f>
        <v>台斤</v>
      </c>
      <c r="F439" s="6">
        <f>_xlfn.IFNA(VLOOKUP(B439,$B:$G,5,0),"")</f>
        <v>1100</v>
      </c>
      <c r="G439" s="7">
        <v>138</v>
      </c>
      <c r="H439" s="8" t="str">
        <f>IF(A439&lt;&gt;A438,SUMIF(A:A, A439, G:G),"")</f>
        <v/>
      </c>
    </row>
    <row r="440" spans="1:9" x14ac:dyDescent="0.3">
      <c r="A440" s="4">
        <f t="shared" si="14"/>
        <v>45987</v>
      </c>
      <c r="B440" t="s">
        <v>22</v>
      </c>
      <c r="D440" s="1">
        <f>總表[[#This Row],[金額]]/總表[[#This Row],[單價]]</f>
        <v>2.5526315789473686</v>
      </c>
      <c r="E440" s="5" t="str">
        <f>_xlfn.IFNA(VLOOKUP(B440,$B:$G,4,0),"")</f>
        <v>台斤</v>
      </c>
      <c r="F440" s="6">
        <v>38</v>
      </c>
      <c r="G440" s="7">
        <v>97</v>
      </c>
      <c r="H440" s="8" t="str">
        <f>IF(A440&lt;&gt;A439,SUMIF(A:A, A440, G:G),"")</f>
        <v/>
      </c>
    </row>
    <row r="441" spans="1:9" x14ac:dyDescent="0.3">
      <c r="A441" s="4">
        <f t="shared" si="14"/>
        <v>45987</v>
      </c>
      <c r="B441" t="s">
        <v>18</v>
      </c>
      <c r="D441" s="1">
        <f>總表[[#This Row],[金額]]/總表[[#This Row],[單價]]</f>
        <v>2.06</v>
      </c>
      <c r="E441" s="5" t="str">
        <f>_xlfn.IFNA(VLOOKUP(B441,$B:$G,4,0),"")</f>
        <v>台斤</v>
      </c>
      <c r="F441" s="6">
        <v>150</v>
      </c>
      <c r="G441" s="7">
        <v>309</v>
      </c>
      <c r="H441" s="8" t="str">
        <f>IF(A441&lt;&gt;A440,SUMIF(A:A, A441, G:G),"")</f>
        <v/>
      </c>
    </row>
    <row r="442" spans="1:9" x14ac:dyDescent="0.3">
      <c r="A442" s="4">
        <f t="shared" si="14"/>
        <v>45987</v>
      </c>
      <c r="B442" t="s">
        <v>20</v>
      </c>
      <c r="D442" s="1">
        <f>總表[[#This Row],[金額]]/總表[[#This Row],[單價]]</f>
        <v>2.1866666666666665</v>
      </c>
      <c r="E442" s="5" t="str">
        <f>_xlfn.IFNA(VLOOKUP(B442,$B:$G,4,0),"")</f>
        <v>台斤</v>
      </c>
      <c r="F442" s="6">
        <v>150</v>
      </c>
      <c r="G442" s="7">
        <v>328</v>
      </c>
      <c r="H442" s="8" t="str">
        <f>IF(A442&lt;&gt;A441,SUMIF(A:A, A442, G:G),"")</f>
        <v/>
      </c>
    </row>
    <row r="443" spans="1:9" x14ac:dyDescent="0.3">
      <c r="A443" s="4">
        <f t="shared" si="14"/>
        <v>45987</v>
      </c>
      <c r="B443" t="s">
        <v>28</v>
      </c>
      <c r="D443" s="1">
        <f>總表[[#This Row],[金額]]/總表[[#This Row],[單價]]</f>
        <v>1</v>
      </c>
      <c r="E443" s="5" t="str">
        <f>_xlfn.IFNA(VLOOKUP(B443,$B:$G,4,0),"")</f>
        <v>台斤</v>
      </c>
      <c r="F443" s="6">
        <f>_xlfn.IFNA(VLOOKUP(B443,$B:$G,5,0),"")</f>
        <v>120</v>
      </c>
      <c r="G443" s="7">
        <v>120</v>
      </c>
      <c r="H443" s="8" t="str">
        <f>IF(A443&lt;&gt;A442,SUMIF(A:A, A443, G:G),"")</f>
        <v/>
      </c>
    </row>
    <row r="444" spans="1:9" x14ac:dyDescent="0.3">
      <c r="A444" s="4">
        <f t="shared" si="14"/>
        <v>45987</v>
      </c>
      <c r="B444" t="s">
        <v>42</v>
      </c>
      <c r="D444" s="1">
        <f>總表[[#This Row],[金額]]/總表[[#This Row],[單價]]</f>
        <v>1</v>
      </c>
      <c r="E444" s="5" t="str">
        <f>_xlfn.IFNA(VLOOKUP(B444,$B:$G,4,0),"")</f>
        <v>盒</v>
      </c>
      <c r="F444" s="6">
        <v>170</v>
      </c>
      <c r="G444" s="7">
        <v>170</v>
      </c>
      <c r="H444" s="8" t="str">
        <f>IF(A444&lt;&gt;A443,SUMIF(A:A, A444, G:G),"")</f>
        <v/>
      </c>
    </row>
    <row r="445" spans="1:9" x14ac:dyDescent="0.3">
      <c r="A445" s="4">
        <f t="shared" si="14"/>
        <v>45987</v>
      </c>
      <c r="B445" t="s">
        <v>38</v>
      </c>
      <c r="D445" s="1">
        <f>總表[[#This Row],[金額]]/總表[[#This Row],[單價]]</f>
        <v>6</v>
      </c>
      <c r="E445" s="5" t="str">
        <f>_xlfn.IFNA(VLOOKUP(B445,$B:$G,4,0),"")</f>
        <v>盒</v>
      </c>
      <c r="F445" s="6">
        <v>90</v>
      </c>
      <c r="G445" s="7">
        <v>540</v>
      </c>
      <c r="H445" s="8" t="str">
        <f>IF(A445&lt;&gt;A444,SUMIF(A:A, A445, G:G),"")</f>
        <v/>
      </c>
    </row>
    <row r="446" spans="1:9" x14ac:dyDescent="0.3">
      <c r="A446" s="4">
        <f t="shared" si="14"/>
        <v>45987</v>
      </c>
      <c r="B446" t="s">
        <v>58</v>
      </c>
      <c r="D446" s="1">
        <f>總表[[#This Row],[金額]]/總表[[#This Row],[單價]]</f>
        <v>2</v>
      </c>
      <c r="E446" s="5" t="str">
        <f>_xlfn.IFNA(VLOOKUP(B446,$B:$G,4,0),"")</f>
        <v>盒</v>
      </c>
      <c r="F446" s="6">
        <v>90</v>
      </c>
      <c r="G446" s="7">
        <v>180</v>
      </c>
      <c r="H446" s="8" t="str">
        <f>IF(A446&lt;&gt;A445,SUMIF(A:A, A446, G:G),"")</f>
        <v/>
      </c>
    </row>
    <row r="447" spans="1:9" x14ac:dyDescent="0.3">
      <c r="A447" s="4">
        <f t="shared" si="14"/>
        <v>45987</v>
      </c>
      <c r="B447" t="s">
        <v>56</v>
      </c>
      <c r="D447" s="1">
        <f>總表[[#This Row],[金額]]/總表[[#This Row],[單價]]</f>
        <v>10</v>
      </c>
      <c r="E447" s="5" t="str">
        <f>_xlfn.IFNA(VLOOKUP(B447,$B:$G,4,0),"")</f>
        <v>台斤</v>
      </c>
      <c r="F447" s="6">
        <f>_xlfn.IFNA(VLOOKUP(B447,$B:$G,5,0),"")</f>
        <v>130</v>
      </c>
      <c r="G447" s="7">
        <v>1300</v>
      </c>
      <c r="H447" s="8" t="str">
        <f>IF(A447&lt;&gt;A446,SUMIF(A:A, A447, G:G),"")</f>
        <v/>
      </c>
    </row>
    <row r="448" spans="1:9" x14ac:dyDescent="0.3">
      <c r="A448" s="4">
        <f t="shared" si="14"/>
        <v>45987</v>
      </c>
      <c r="B448" t="s">
        <v>60</v>
      </c>
      <c r="D448" s="1">
        <f>總表[[#This Row],[金額]]/總表[[#This Row],[單價]]</f>
        <v>3.5</v>
      </c>
      <c r="E448" s="5" t="str">
        <f>_xlfn.IFNA(VLOOKUP(B448,$B:$G,4,0),"")</f>
        <v>台斤</v>
      </c>
      <c r="F448" s="6">
        <f>_xlfn.IFNA(VLOOKUP(B448,$B:$G,5,0),"")</f>
        <v>470</v>
      </c>
      <c r="G448" s="7">
        <v>1645</v>
      </c>
      <c r="H448" s="8" t="str">
        <f>IF(A448&lt;&gt;A447,SUMIF(A:A, A448, G:G),"")</f>
        <v/>
      </c>
    </row>
    <row r="449" spans="1:9" x14ac:dyDescent="0.3">
      <c r="A449" s="4">
        <v>45989</v>
      </c>
      <c r="B449" t="s">
        <v>28</v>
      </c>
      <c r="D449" s="1">
        <f>總表[[#This Row],[金額]]/總表[[#This Row],[單價]]</f>
        <v>1</v>
      </c>
      <c r="E449" s="5" t="str">
        <f>_xlfn.IFNA(VLOOKUP(B449,$B:$G,4,0),"")</f>
        <v>台斤</v>
      </c>
      <c r="F449" s="6">
        <f>_xlfn.IFNA(VLOOKUP(B449,$B:$G,5,0),"")</f>
        <v>120</v>
      </c>
      <c r="G449" s="7">
        <v>120</v>
      </c>
      <c r="H449" s="8">
        <f>IF(A449&lt;&gt;A448,SUMIF(A:A, A449, G:G),"")</f>
        <v>1577</v>
      </c>
      <c r="I449">
        <v>1577</v>
      </c>
    </row>
    <row r="450" spans="1:9" x14ac:dyDescent="0.3">
      <c r="A450" s="4">
        <f t="shared" ref="A450:A513" si="15">IF(B450="","",A449)</f>
        <v>45989</v>
      </c>
      <c r="B450" s="11" t="s">
        <v>15</v>
      </c>
      <c r="D450" s="1">
        <f>總表[[#This Row],[金額]]/總表[[#This Row],[單價]]</f>
        <v>0.25</v>
      </c>
      <c r="E450" s="5" t="str">
        <f t="shared" ref="E450:E513" si="16">_xlfn.IFNA(VLOOKUP(B450,$B:$G,4,0),"")</f>
        <v>台斤</v>
      </c>
      <c r="F450" s="6">
        <v>80</v>
      </c>
      <c r="G450" s="7">
        <v>20</v>
      </c>
      <c r="H450" s="8" t="str">
        <f t="shared" ref="H450:H513" si="17">IF(A450&lt;&gt;A449,SUMIF(A:A, A450, G:G),"")</f>
        <v/>
      </c>
    </row>
    <row r="451" spans="1:9" x14ac:dyDescent="0.3">
      <c r="A451" s="4">
        <f t="shared" si="15"/>
        <v>45989</v>
      </c>
      <c r="B451" t="s">
        <v>44</v>
      </c>
      <c r="D451" s="1">
        <f>總表[[#This Row],[金額]]/總表[[#This Row],[單價]]</f>
        <v>0.18666666666666668</v>
      </c>
      <c r="E451" s="5" t="str">
        <f t="shared" si="16"/>
        <v>台斤</v>
      </c>
      <c r="F451" s="6">
        <f t="shared" ref="F450:F513" si="18">_xlfn.IFNA(VLOOKUP(B451,$B:$G,5,0),"")</f>
        <v>300</v>
      </c>
      <c r="G451" s="7">
        <v>56</v>
      </c>
      <c r="H451" s="8" t="str">
        <f t="shared" si="17"/>
        <v/>
      </c>
    </row>
    <row r="452" spans="1:9" x14ac:dyDescent="0.3">
      <c r="A452" s="4">
        <f t="shared" si="15"/>
        <v>45989</v>
      </c>
      <c r="B452" t="s">
        <v>38</v>
      </c>
      <c r="D452" s="1">
        <f>總表[[#This Row],[金額]]/總表[[#This Row],[單價]]</f>
        <v>1</v>
      </c>
      <c r="E452" s="5" t="str">
        <f t="shared" si="16"/>
        <v>盒</v>
      </c>
      <c r="F452" s="6">
        <v>90</v>
      </c>
      <c r="G452" s="7">
        <v>90</v>
      </c>
      <c r="H452" s="8" t="str">
        <f t="shared" si="17"/>
        <v/>
      </c>
    </row>
    <row r="453" spans="1:9" x14ac:dyDescent="0.3">
      <c r="A453" s="4">
        <f t="shared" si="15"/>
        <v>45989</v>
      </c>
      <c r="B453" t="s">
        <v>48</v>
      </c>
      <c r="D453" s="1">
        <f>總表[[#This Row],[金額]]/總表[[#This Row],[單價]]</f>
        <v>0.5</v>
      </c>
      <c r="E453" s="5" t="str">
        <f t="shared" si="16"/>
        <v>台斤</v>
      </c>
      <c r="F453" s="6">
        <v>150</v>
      </c>
      <c r="G453" s="7">
        <v>75</v>
      </c>
      <c r="H453" s="8" t="str">
        <f t="shared" si="17"/>
        <v/>
      </c>
    </row>
    <row r="454" spans="1:9" x14ac:dyDescent="0.3">
      <c r="A454" s="4">
        <f t="shared" si="15"/>
        <v>45989</v>
      </c>
      <c r="B454" t="s">
        <v>36</v>
      </c>
      <c r="D454" s="1">
        <f>總表[[#This Row],[金額]]/總表[[#This Row],[單價]]</f>
        <v>1</v>
      </c>
      <c r="E454" s="5" t="str">
        <f t="shared" si="16"/>
        <v>台斤</v>
      </c>
      <c r="F454" s="6">
        <v>95</v>
      </c>
      <c r="G454" s="7">
        <v>95</v>
      </c>
      <c r="H454" s="8" t="str">
        <f t="shared" si="17"/>
        <v/>
      </c>
    </row>
    <row r="455" spans="1:9" x14ac:dyDescent="0.3">
      <c r="A455" s="4">
        <f t="shared" si="15"/>
        <v>45989</v>
      </c>
      <c r="B455" t="s">
        <v>24</v>
      </c>
      <c r="D455" s="1">
        <f>總表[[#This Row],[金額]]/總表[[#This Row],[單價]]</f>
        <v>1</v>
      </c>
      <c r="E455" s="5" t="str">
        <f t="shared" si="16"/>
        <v>台斤</v>
      </c>
      <c r="F455" s="6">
        <f t="shared" si="18"/>
        <v>155</v>
      </c>
      <c r="G455" s="7">
        <v>155</v>
      </c>
      <c r="H455" s="8" t="str">
        <f t="shared" si="17"/>
        <v/>
      </c>
    </row>
    <row r="456" spans="1:9" x14ac:dyDescent="0.3">
      <c r="A456" s="4">
        <f t="shared" si="15"/>
        <v>45989</v>
      </c>
      <c r="B456" t="s">
        <v>30</v>
      </c>
      <c r="D456" s="1">
        <f>總表[[#This Row],[金額]]/總表[[#This Row],[單價]]</f>
        <v>3</v>
      </c>
      <c r="E456" s="5" t="str">
        <f t="shared" si="16"/>
        <v>盒</v>
      </c>
      <c r="F456" s="6">
        <f t="shared" si="18"/>
        <v>280</v>
      </c>
      <c r="G456" s="7">
        <v>840</v>
      </c>
      <c r="H456" s="8" t="str">
        <f t="shared" si="17"/>
        <v/>
      </c>
    </row>
    <row r="457" spans="1:9" x14ac:dyDescent="0.3">
      <c r="A457" s="4">
        <f t="shared" si="15"/>
        <v>45989</v>
      </c>
      <c r="B457" t="s">
        <v>22</v>
      </c>
      <c r="D457" s="1">
        <f>總表[[#This Row],[金額]]/總表[[#This Row],[單價]]</f>
        <v>3.3157894736842106</v>
      </c>
      <c r="E457" s="5" t="str">
        <f t="shared" si="16"/>
        <v>台斤</v>
      </c>
      <c r="F457" s="6">
        <v>38</v>
      </c>
      <c r="G457" s="7">
        <v>126</v>
      </c>
      <c r="H457" s="8" t="str">
        <f t="shared" si="17"/>
        <v/>
      </c>
    </row>
    <row r="458" spans="1:9" x14ac:dyDescent="0.3">
      <c r="A458" s="4">
        <v>45990</v>
      </c>
      <c r="B458" t="s">
        <v>15</v>
      </c>
      <c r="D458" s="1">
        <f>總表[[#This Row],[金額]]/總表[[#This Row],[單價]]</f>
        <v>0.13</v>
      </c>
      <c r="E458" s="5" t="str">
        <f t="shared" si="16"/>
        <v>台斤</v>
      </c>
      <c r="F458" s="6">
        <f t="shared" si="18"/>
        <v>100</v>
      </c>
      <c r="G458" s="7">
        <v>13</v>
      </c>
      <c r="H458" s="8">
        <f t="shared" si="17"/>
        <v>1875</v>
      </c>
      <c r="I458">
        <v>1875</v>
      </c>
    </row>
    <row r="459" spans="1:9" x14ac:dyDescent="0.3">
      <c r="A459" s="4">
        <f t="shared" si="15"/>
        <v>45990</v>
      </c>
      <c r="B459" t="s">
        <v>38</v>
      </c>
      <c r="D459" s="1">
        <f>總表[[#This Row],[金額]]/總表[[#This Row],[單價]]</f>
        <v>3</v>
      </c>
      <c r="E459" s="5" t="str">
        <f t="shared" si="16"/>
        <v>盒</v>
      </c>
      <c r="F459" s="6">
        <v>90</v>
      </c>
      <c r="G459" s="7">
        <v>270</v>
      </c>
      <c r="H459" s="8" t="str">
        <f t="shared" si="17"/>
        <v/>
      </c>
    </row>
    <row r="460" spans="1:9" x14ac:dyDescent="0.3">
      <c r="A460" s="4">
        <f t="shared" si="15"/>
        <v>45990</v>
      </c>
      <c r="B460" t="s">
        <v>18</v>
      </c>
      <c r="D460" s="1">
        <f>總表[[#This Row],[金額]]/總表[[#This Row],[單價]]</f>
        <v>1.1266666666666667</v>
      </c>
      <c r="E460" s="5" t="str">
        <f t="shared" si="16"/>
        <v>台斤</v>
      </c>
      <c r="F460" s="6">
        <v>150</v>
      </c>
      <c r="G460" s="7">
        <v>169</v>
      </c>
      <c r="H460" s="8" t="str">
        <f t="shared" si="17"/>
        <v/>
      </c>
    </row>
    <row r="461" spans="1:9" x14ac:dyDescent="0.3">
      <c r="A461" s="4">
        <f t="shared" si="15"/>
        <v>45990</v>
      </c>
      <c r="B461" t="s">
        <v>20</v>
      </c>
      <c r="D461" s="1">
        <f>總表[[#This Row],[金額]]/總表[[#This Row],[單價]]</f>
        <v>1</v>
      </c>
      <c r="E461" s="5" t="str">
        <f t="shared" si="16"/>
        <v>台斤</v>
      </c>
      <c r="F461" s="6">
        <v>150</v>
      </c>
      <c r="G461" s="7">
        <v>150</v>
      </c>
      <c r="H461" s="8" t="str">
        <f t="shared" si="17"/>
        <v/>
      </c>
    </row>
    <row r="462" spans="1:9" x14ac:dyDescent="0.3">
      <c r="A462" s="4">
        <f t="shared" si="15"/>
        <v>45990</v>
      </c>
      <c r="B462" t="s">
        <v>34</v>
      </c>
      <c r="D462" s="1">
        <f>總表[[#This Row],[金額]]/總表[[#This Row],[單價]]</f>
        <v>2</v>
      </c>
      <c r="E462" s="5" t="str">
        <f t="shared" si="16"/>
        <v>台斤</v>
      </c>
      <c r="F462" s="6">
        <v>200</v>
      </c>
      <c r="G462" s="7">
        <v>400</v>
      </c>
      <c r="H462" s="8" t="str">
        <f t="shared" si="17"/>
        <v/>
      </c>
    </row>
    <row r="463" spans="1:9" x14ac:dyDescent="0.3">
      <c r="A463" s="4">
        <f t="shared" si="15"/>
        <v>45990</v>
      </c>
      <c r="B463" t="s">
        <v>16</v>
      </c>
      <c r="D463" s="1">
        <f>總表[[#This Row],[金額]]/總表[[#This Row],[單價]]</f>
        <v>1</v>
      </c>
      <c r="E463" s="5" t="str">
        <f t="shared" si="16"/>
        <v>台斤</v>
      </c>
      <c r="F463" s="6">
        <v>120</v>
      </c>
      <c r="G463" s="7">
        <v>120</v>
      </c>
      <c r="H463" s="8" t="str">
        <f t="shared" si="17"/>
        <v/>
      </c>
    </row>
    <row r="464" spans="1:9" x14ac:dyDescent="0.3">
      <c r="A464" s="4">
        <f t="shared" si="15"/>
        <v>45990</v>
      </c>
      <c r="B464" t="s">
        <v>52</v>
      </c>
      <c r="D464" s="1">
        <f>總表[[#This Row],[金額]]/總表[[#This Row],[單價]]</f>
        <v>4</v>
      </c>
      <c r="E464" s="5" t="str">
        <f t="shared" si="16"/>
        <v>包</v>
      </c>
      <c r="F464" s="6">
        <v>155</v>
      </c>
      <c r="G464" s="7">
        <v>620</v>
      </c>
      <c r="H464" s="8" t="str">
        <f t="shared" si="17"/>
        <v/>
      </c>
    </row>
    <row r="465" spans="1:9" x14ac:dyDescent="0.3">
      <c r="A465" s="4">
        <f t="shared" si="15"/>
        <v>45990</v>
      </c>
      <c r="B465" t="s">
        <v>22</v>
      </c>
      <c r="D465" s="1">
        <f>總表[[#This Row],[金額]]/總表[[#This Row],[單價]]</f>
        <v>3.5</v>
      </c>
      <c r="E465" s="5" t="str">
        <f t="shared" si="16"/>
        <v>台斤</v>
      </c>
      <c r="F465" s="6">
        <v>38</v>
      </c>
      <c r="G465" s="7">
        <v>133</v>
      </c>
      <c r="H465" s="8" t="str">
        <f t="shared" si="17"/>
        <v/>
      </c>
    </row>
    <row r="466" spans="1:9" x14ac:dyDescent="0.3">
      <c r="A466" s="4">
        <v>45991</v>
      </c>
      <c r="B466" t="s">
        <v>24</v>
      </c>
      <c r="D466" s="1">
        <f>總表[[#This Row],[金額]]/總表[[#This Row],[單價]]</f>
        <v>2</v>
      </c>
      <c r="E466" s="5" t="str">
        <f t="shared" si="16"/>
        <v>台斤</v>
      </c>
      <c r="F466" s="6">
        <f t="shared" si="18"/>
        <v>155</v>
      </c>
      <c r="G466" s="7">
        <v>310</v>
      </c>
      <c r="H466" s="8">
        <f t="shared" si="17"/>
        <v>4364</v>
      </c>
      <c r="I466">
        <v>4364</v>
      </c>
    </row>
    <row r="467" spans="1:9" x14ac:dyDescent="0.3">
      <c r="A467" s="4">
        <f t="shared" si="15"/>
        <v>45991</v>
      </c>
      <c r="B467" t="s">
        <v>38</v>
      </c>
      <c r="D467" s="1">
        <f>總表[[#This Row],[金額]]/總表[[#This Row],[單價]]</f>
        <v>6</v>
      </c>
      <c r="E467" s="5" t="str">
        <f t="shared" si="16"/>
        <v>盒</v>
      </c>
      <c r="F467" s="6">
        <v>90</v>
      </c>
      <c r="G467" s="7">
        <v>540</v>
      </c>
      <c r="H467" s="8" t="str">
        <f t="shared" si="17"/>
        <v/>
      </c>
    </row>
    <row r="468" spans="1:9" x14ac:dyDescent="0.3">
      <c r="A468" s="4">
        <f t="shared" si="15"/>
        <v>45991</v>
      </c>
      <c r="B468" t="s">
        <v>16</v>
      </c>
      <c r="D468" s="1">
        <f>總表[[#This Row],[金額]]/總表[[#This Row],[單價]]</f>
        <v>1</v>
      </c>
      <c r="E468" s="5" t="str">
        <f t="shared" si="16"/>
        <v>台斤</v>
      </c>
      <c r="F468" s="6">
        <v>120</v>
      </c>
      <c r="G468" s="7">
        <v>120</v>
      </c>
      <c r="H468" s="8" t="str">
        <f t="shared" si="17"/>
        <v/>
      </c>
    </row>
    <row r="469" spans="1:9" x14ac:dyDescent="0.3">
      <c r="A469" s="4">
        <f t="shared" si="15"/>
        <v>45991</v>
      </c>
      <c r="B469" t="s">
        <v>28</v>
      </c>
      <c r="D469" s="1">
        <f>總表[[#This Row],[金額]]/總表[[#This Row],[單價]]</f>
        <v>1</v>
      </c>
      <c r="E469" s="5" t="str">
        <f t="shared" si="16"/>
        <v>台斤</v>
      </c>
      <c r="F469" s="6">
        <v>120</v>
      </c>
      <c r="G469" s="7">
        <v>120</v>
      </c>
      <c r="H469" s="8" t="str">
        <f t="shared" si="17"/>
        <v/>
      </c>
    </row>
    <row r="470" spans="1:9" x14ac:dyDescent="0.3">
      <c r="A470" s="4">
        <f t="shared" si="15"/>
        <v>45991</v>
      </c>
      <c r="B470" t="s">
        <v>18</v>
      </c>
      <c r="D470" s="1">
        <f>總表[[#This Row],[金額]]/總表[[#This Row],[單價]]</f>
        <v>1</v>
      </c>
      <c r="E470" s="5" t="str">
        <f t="shared" si="16"/>
        <v>台斤</v>
      </c>
      <c r="F470" s="6">
        <v>150</v>
      </c>
      <c r="G470" s="7">
        <v>150</v>
      </c>
      <c r="H470" s="8" t="str">
        <f t="shared" si="17"/>
        <v/>
      </c>
    </row>
    <row r="471" spans="1:9" x14ac:dyDescent="0.3">
      <c r="A471" s="4">
        <f t="shared" si="15"/>
        <v>45991</v>
      </c>
      <c r="B471" t="s">
        <v>20</v>
      </c>
      <c r="D471" s="1">
        <f>總表[[#This Row],[金額]]/總表[[#This Row],[單價]]</f>
        <v>1.06</v>
      </c>
      <c r="E471" s="5" t="str">
        <f t="shared" si="16"/>
        <v>台斤</v>
      </c>
      <c r="F471" s="6">
        <v>150</v>
      </c>
      <c r="G471" s="7">
        <v>159</v>
      </c>
      <c r="H471" s="8" t="str">
        <f t="shared" si="17"/>
        <v/>
      </c>
    </row>
    <row r="472" spans="1:9" x14ac:dyDescent="0.3">
      <c r="A472" s="4">
        <f t="shared" si="15"/>
        <v>45991</v>
      </c>
      <c r="B472" t="s">
        <v>15</v>
      </c>
      <c r="D472" s="1">
        <f>總表[[#This Row],[金額]]/總表[[#This Row],[單價]]</f>
        <v>0.25</v>
      </c>
      <c r="E472" s="5" t="str">
        <f t="shared" si="16"/>
        <v>台斤</v>
      </c>
      <c r="F472" s="6">
        <f t="shared" si="18"/>
        <v>100</v>
      </c>
      <c r="G472" s="7">
        <v>25</v>
      </c>
      <c r="H472" s="8" t="str">
        <f t="shared" si="17"/>
        <v/>
      </c>
    </row>
    <row r="473" spans="1:9" x14ac:dyDescent="0.3">
      <c r="A473" s="4">
        <f t="shared" si="15"/>
        <v>45991</v>
      </c>
      <c r="B473" t="s">
        <v>44</v>
      </c>
      <c r="D473" s="1">
        <f>總表[[#This Row],[金額]]/總表[[#This Row],[單價]]</f>
        <v>0.25</v>
      </c>
      <c r="E473" s="5" t="str">
        <f t="shared" si="16"/>
        <v>台斤</v>
      </c>
      <c r="F473" s="6">
        <f t="shared" si="18"/>
        <v>300</v>
      </c>
      <c r="G473" s="7">
        <v>75</v>
      </c>
      <c r="H473" s="8" t="str">
        <f t="shared" si="17"/>
        <v/>
      </c>
    </row>
    <row r="474" spans="1:9" x14ac:dyDescent="0.3">
      <c r="A474" s="4">
        <f t="shared" si="15"/>
        <v>45991</v>
      </c>
      <c r="B474" t="s">
        <v>30</v>
      </c>
      <c r="D474" s="1">
        <f>總表[[#This Row],[金額]]/總表[[#This Row],[單價]]</f>
        <v>3</v>
      </c>
      <c r="E474" s="5" t="str">
        <f t="shared" si="16"/>
        <v>盒</v>
      </c>
      <c r="F474" s="6">
        <f t="shared" si="18"/>
        <v>280</v>
      </c>
      <c r="G474" s="7">
        <v>840</v>
      </c>
      <c r="H474" s="8" t="str">
        <f t="shared" si="17"/>
        <v/>
      </c>
    </row>
    <row r="475" spans="1:9" x14ac:dyDescent="0.3">
      <c r="A475" s="4">
        <f t="shared" si="15"/>
        <v>45991</v>
      </c>
      <c r="B475" t="s">
        <v>40</v>
      </c>
      <c r="D475" s="1">
        <f>總表[[#This Row],[金額]]/總表[[#This Row],[單價]]</f>
        <v>15</v>
      </c>
      <c r="E475" s="5" t="str">
        <f t="shared" si="16"/>
        <v>台斤</v>
      </c>
      <c r="F475" s="6">
        <v>135</v>
      </c>
      <c r="G475" s="7">
        <v>2025</v>
      </c>
      <c r="H475" s="8" t="str">
        <f t="shared" si="17"/>
        <v/>
      </c>
    </row>
    <row r="476" spans="1:9" x14ac:dyDescent="0.3">
      <c r="A476" s="4">
        <v>45993</v>
      </c>
      <c r="B476" t="s">
        <v>26</v>
      </c>
      <c r="D476" s="1">
        <f>總表[[#This Row],[金額]]/總表[[#This Row],[單價]]</f>
        <v>1</v>
      </c>
      <c r="E476" s="5" t="str">
        <f t="shared" si="16"/>
        <v>包</v>
      </c>
      <c r="F476" s="6">
        <f t="shared" si="18"/>
        <v>100</v>
      </c>
      <c r="G476" s="7">
        <v>100</v>
      </c>
      <c r="H476" s="8">
        <f t="shared" si="17"/>
        <v>648</v>
      </c>
      <c r="I476">
        <v>648</v>
      </c>
    </row>
    <row r="477" spans="1:9" x14ac:dyDescent="0.3">
      <c r="A477" s="4">
        <f t="shared" si="15"/>
        <v>45993</v>
      </c>
      <c r="B477" t="s">
        <v>15</v>
      </c>
      <c r="D477" s="1">
        <f>總表[[#This Row],[金額]]/總表[[#This Row],[單價]]</f>
        <v>0.13</v>
      </c>
      <c r="E477" s="5" t="str">
        <f t="shared" si="16"/>
        <v>台斤</v>
      </c>
      <c r="F477" s="6">
        <f t="shared" si="18"/>
        <v>100</v>
      </c>
      <c r="G477" s="7">
        <v>13</v>
      </c>
      <c r="H477" s="8" t="str">
        <f t="shared" si="17"/>
        <v/>
      </c>
    </row>
    <row r="478" spans="1:9" x14ac:dyDescent="0.3">
      <c r="A478" s="4">
        <f t="shared" si="15"/>
        <v>45993</v>
      </c>
      <c r="B478" t="s">
        <v>24</v>
      </c>
      <c r="D478" s="1">
        <f>總表[[#This Row],[金額]]/總表[[#This Row],[單價]]</f>
        <v>1</v>
      </c>
      <c r="E478" s="5" t="str">
        <f t="shared" si="16"/>
        <v>台斤</v>
      </c>
      <c r="F478" s="6">
        <f t="shared" si="18"/>
        <v>155</v>
      </c>
      <c r="G478" s="7">
        <v>155</v>
      </c>
      <c r="H478" s="8" t="str">
        <f t="shared" si="17"/>
        <v/>
      </c>
    </row>
    <row r="479" spans="1:9" x14ac:dyDescent="0.3">
      <c r="A479" s="4">
        <f t="shared" si="15"/>
        <v>45993</v>
      </c>
      <c r="B479" t="s">
        <v>48</v>
      </c>
      <c r="D479" s="1">
        <f>總表[[#This Row],[金額]]/總表[[#This Row],[單價]]</f>
        <v>0.5</v>
      </c>
      <c r="E479" s="5" t="str">
        <f t="shared" si="16"/>
        <v>台斤</v>
      </c>
      <c r="F479" s="6">
        <v>150</v>
      </c>
      <c r="G479" s="7">
        <v>75</v>
      </c>
      <c r="H479" s="8" t="str">
        <f t="shared" si="17"/>
        <v/>
      </c>
    </row>
    <row r="480" spans="1:9" x14ac:dyDescent="0.3">
      <c r="A480" s="4">
        <f t="shared" si="15"/>
        <v>45993</v>
      </c>
      <c r="B480" t="s">
        <v>36</v>
      </c>
      <c r="D480" s="1">
        <f>總表[[#This Row],[金額]]/總表[[#This Row],[單價]]</f>
        <v>1</v>
      </c>
      <c r="E480" s="5" t="str">
        <f t="shared" si="16"/>
        <v>台斤</v>
      </c>
      <c r="F480" s="6">
        <v>95</v>
      </c>
      <c r="G480" s="7">
        <v>95</v>
      </c>
      <c r="H480" s="8" t="str">
        <f t="shared" si="17"/>
        <v/>
      </c>
    </row>
    <row r="481" spans="1:9" x14ac:dyDescent="0.3">
      <c r="A481" s="4">
        <f t="shared" si="15"/>
        <v>45993</v>
      </c>
      <c r="B481" t="s">
        <v>32</v>
      </c>
      <c r="D481" s="1">
        <f>總表[[#This Row],[金額]]/總表[[#This Row],[單價]]</f>
        <v>0.3125</v>
      </c>
      <c r="E481" s="5" t="str">
        <f t="shared" si="16"/>
        <v>台斤</v>
      </c>
      <c r="F481" s="6">
        <f t="shared" si="18"/>
        <v>240</v>
      </c>
      <c r="G481" s="7">
        <v>75</v>
      </c>
      <c r="H481" s="8" t="str">
        <f t="shared" si="17"/>
        <v/>
      </c>
    </row>
    <row r="482" spans="1:9" x14ac:dyDescent="0.3">
      <c r="A482" s="4">
        <f t="shared" si="15"/>
        <v>45993</v>
      </c>
      <c r="B482" t="s">
        <v>22</v>
      </c>
      <c r="D482" s="1">
        <f>總表[[#This Row],[金額]]/總表[[#This Row],[單價]]</f>
        <v>3.5526315789473686</v>
      </c>
      <c r="E482" s="5" t="str">
        <f t="shared" si="16"/>
        <v>台斤</v>
      </c>
      <c r="F482" s="6">
        <v>38</v>
      </c>
      <c r="G482" s="7">
        <v>135</v>
      </c>
      <c r="H482" s="8" t="str">
        <f t="shared" si="17"/>
        <v/>
      </c>
    </row>
    <row r="483" spans="1:9" x14ac:dyDescent="0.3">
      <c r="A483" s="4">
        <v>45994</v>
      </c>
      <c r="B483" t="s">
        <v>28</v>
      </c>
      <c r="D483" s="1">
        <f>總表[[#This Row],[金額]]/總表[[#This Row],[單價]]</f>
        <v>1</v>
      </c>
      <c r="E483" s="5" t="str">
        <f t="shared" si="16"/>
        <v>台斤</v>
      </c>
      <c r="F483" s="6">
        <f t="shared" si="18"/>
        <v>120</v>
      </c>
      <c r="G483" s="7">
        <v>120</v>
      </c>
      <c r="H483" s="8">
        <f t="shared" si="17"/>
        <v>1198</v>
      </c>
      <c r="I483">
        <v>1198</v>
      </c>
    </row>
    <row r="484" spans="1:9" x14ac:dyDescent="0.3">
      <c r="A484" s="4">
        <f t="shared" si="15"/>
        <v>45994</v>
      </c>
      <c r="B484" t="s">
        <v>24</v>
      </c>
      <c r="D484" s="1">
        <f>總表[[#This Row],[金額]]/總表[[#This Row],[單價]]</f>
        <v>1</v>
      </c>
      <c r="E484" s="5" t="str">
        <f t="shared" si="16"/>
        <v>台斤</v>
      </c>
      <c r="F484" s="6">
        <f t="shared" si="18"/>
        <v>155</v>
      </c>
      <c r="G484" s="7">
        <v>155</v>
      </c>
      <c r="H484" s="8" t="str">
        <f t="shared" si="17"/>
        <v/>
      </c>
    </row>
    <row r="485" spans="1:9" x14ac:dyDescent="0.3">
      <c r="A485" s="4">
        <f t="shared" si="15"/>
        <v>45994</v>
      </c>
      <c r="B485" t="s">
        <v>34</v>
      </c>
      <c r="D485" s="1">
        <f>總表[[#This Row],[金額]]/總表[[#This Row],[單價]]</f>
        <v>2.625</v>
      </c>
      <c r="E485" s="5" t="str">
        <f t="shared" si="16"/>
        <v>台斤</v>
      </c>
      <c r="F485" s="6">
        <v>200</v>
      </c>
      <c r="G485" s="7">
        <v>525</v>
      </c>
      <c r="H485" s="8" t="str">
        <f t="shared" si="17"/>
        <v/>
      </c>
    </row>
    <row r="486" spans="1:9" x14ac:dyDescent="0.3">
      <c r="A486" s="4">
        <f t="shared" si="15"/>
        <v>45994</v>
      </c>
      <c r="B486" t="s">
        <v>58</v>
      </c>
      <c r="D486" s="1">
        <f>總表[[#This Row],[金額]]/總表[[#This Row],[單價]]</f>
        <v>4</v>
      </c>
      <c r="E486" s="5" t="str">
        <f t="shared" si="16"/>
        <v>盒</v>
      </c>
      <c r="F486" s="6">
        <v>90</v>
      </c>
      <c r="G486" s="7">
        <v>360</v>
      </c>
      <c r="H486" s="8" t="str">
        <f t="shared" si="17"/>
        <v/>
      </c>
    </row>
    <row r="487" spans="1:9" x14ac:dyDescent="0.3">
      <c r="A487" s="4">
        <f t="shared" si="15"/>
        <v>45994</v>
      </c>
      <c r="B487" t="s">
        <v>44</v>
      </c>
      <c r="D487" s="1">
        <f>總表[[#This Row],[金額]]/總表[[#This Row],[單價]]</f>
        <v>0.12666666666666668</v>
      </c>
      <c r="E487" s="5" t="str">
        <f t="shared" si="16"/>
        <v>台斤</v>
      </c>
      <c r="F487" s="6">
        <f t="shared" si="18"/>
        <v>300</v>
      </c>
      <c r="G487" s="7">
        <v>38</v>
      </c>
      <c r="H487" s="8" t="str">
        <f t="shared" si="17"/>
        <v/>
      </c>
    </row>
    <row r="488" spans="1:9" x14ac:dyDescent="0.3">
      <c r="A488" s="4">
        <v>45996</v>
      </c>
      <c r="B488" t="s">
        <v>26</v>
      </c>
      <c r="D488" s="1">
        <f>總表[[#This Row],[金額]]/總表[[#This Row],[單價]]</f>
        <v>1</v>
      </c>
      <c r="E488" s="5" t="str">
        <f t="shared" si="16"/>
        <v>包</v>
      </c>
      <c r="F488" s="6">
        <f t="shared" si="18"/>
        <v>100</v>
      </c>
      <c r="G488" s="7">
        <v>100</v>
      </c>
      <c r="H488" s="8">
        <f t="shared" si="17"/>
        <v>1299</v>
      </c>
      <c r="I488">
        <v>1299</v>
      </c>
    </row>
    <row r="489" spans="1:9" x14ac:dyDescent="0.3">
      <c r="A489" s="4">
        <f t="shared" si="15"/>
        <v>45996</v>
      </c>
      <c r="B489" t="s">
        <v>44</v>
      </c>
      <c r="D489" s="1">
        <f>總表[[#This Row],[金額]]/總表[[#This Row],[單價]]</f>
        <v>0.12666666666666668</v>
      </c>
      <c r="E489" s="5" t="str">
        <f t="shared" si="16"/>
        <v>台斤</v>
      </c>
      <c r="F489" s="6">
        <f t="shared" si="18"/>
        <v>300</v>
      </c>
      <c r="G489" s="7">
        <v>38</v>
      </c>
      <c r="H489" s="8" t="str">
        <f t="shared" si="17"/>
        <v/>
      </c>
    </row>
    <row r="490" spans="1:9" x14ac:dyDescent="0.3">
      <c r="A490" s="4">
        <f t="shared" si="15"/>
        <v>45996</v>
      </c>
      <c r="B490" t="s">
        <v>24</v>
      </c>
      <c r="D490" s="1">
        <f>總表[[#This Row],[金額]]/總表[[#This Row],[單價]]</f>
        <v>2</v>
      </c>
      <c r="E490" s="5" t="str">
        <f t="shared" si="16"/>
        <v>台斤</v>
      </c>
      <c r="F490" s="6">
        <f t="shared" si="18"/>
        <v>155</v>
      </c>
      <c r="G490" s="7">
        <v>310</v>
      </c>
      <c r="H490" s="8" t="str">
        <f t="shared" si="17"/>
        <v/>
      </c>
    </row>
    <row r="491" spans="1:9" x14ac:dyDescent="0.3">
      <c r="A491" s="4">
        <f t="shared" si="15"/>
        <v>45996</v>
      </c>
      <c r="B491" t="s">
        <v>42</v>
      </c>
      <c r="D491" s="1">
        <f>總表[[#This Row],[金額]]/總表[[#This Row],[單價]]</f>
        <v>1</v>
      </c>
      <c r="E491" s="5" t="str">
        <f t="shared" si="16"/>
        <v>盒</v>
      </c>
      <c r="F491" s="6">
        <v>160</v>
      </c>
      <c r="G491" s="7">
        <v>160</v>
      </c>
      <c r="H491" s="8" t="str">
        <f t="shared" si="17"/>
        <v/>
      </c>
    </row>
    <row r="492" spans="1:9" x14ac:dyDescent="0.3">
      <c r="A492" s="4">
        <f t="shared" si="15"/>
        <v>45996</v>
      </c>
      <c r="B492" t="s">
        <v>54</v>
      </c>
      <c r="D492" s="1">
        <f>總表[[#This Row],[金額]]/總表[[#This Row],[單價]]</f>
        <v>1</v>
      </c>
      <c r="E492" s="5" t="str">
        <f t="shared" si="16"/>
        <v>包</v>
      </c>
      <c r="F492" s="6">
        <f t="shared" si="18"/>
        <v>150</v>
      </c>
      <c r="G492" s="7">
        <v>150</v>
      </c>
      <c r="H492" s="8" t="str">
        <f t="shared" si="17"/>
        <v/>
      </c>
    </row>
    <row r="493" spans="1:9" x14ac:dyDescent="0.3">
      <c r="A493" s="4">
        <f t="shared" si="15"/>
        <v>45996</v>
      </c>
      <c r="B493" t="s">
        <v>38</v>
      </c>
      <c r="D493" s="1">
        <f>總表[[#This Row],[金額]]/總表[[#This Row],[單價]]</f>
        <v>2</v>
      </c>
      <c r="E493" s="5" t="str">
        <f t="shared" si="16"/>
        <v>盒</v>
      </c>
      <c r="F493" s="6">
        <v>95</v>
      </c>
      <c r="G493" s="7">
        <v>190</v>
      </c>
      <c r="H493" s="8" t="str">
        <f t="shared" si="17"/>
        <v/>
      </c>
    </row>
    <row r="494" spans="1:9" x14ac:dyDescent="0.3">
      <c r="A494" s="4">
        <f t="shared" si="15"/>
        <v>45996</v>
      </c>
      <c r="B494" t="s">
        <v>18</v>
      </c>
      <c r="D494" s="1">
        <f>總表[[#This Row],[金額]]/總表[[#This Row],[單價]]</f>
        <v>1.1266666666666667</v>
      </c>
      <c r="E494" s="5" t="str">
        <f t="shared" si="16"/>
        <v>台斤</v>
      </c>
      <c r="F494" s="6">
        <v>150</v>
      </c>
      <c r="G494" s="7">
        <v>169</v>
      </c>
      <c r="H494" s="8" t="str">
        <f t="shared" si="17"/>
        <v/>
      </c>
    </row>
    <row r="495" spans="1:9" x14ac:dyDescent="0.3">
      <c r="A495" s="4">
        <f t="shared" si="15"/>
        <v>45996</v>
      </c>
      <c r="B495" t="s">
        <v>20</v>
      </c>
      <c r="D495" s="1">
        <f>總表[[#This Row],[金額]]/總表[[#This Row],[單價]]</f>
        <v>1.1266666666666667</v>
      </c>
      <c r="E495" s="5" t="str">
        <f t="shared" si="16"/>
        <v>台斤</v>
      </c>
      <c r="F495" s="6">
        <v>150</v>
      </c>
      <c r="G495" s="7">
        <v>169</v>
      </c>
      <c r="H495" s="8" t="str">
        <f t="shared" si="17"/>
        <v/>
      </c>
    </row>
    <row r="496" spans="1:9" x14ac:dyDescent="0.3">
      <c r="A496" s="4">
        <f t="shared" si="15"/>
        <v>45996</v>
      </c>
      <c r="B496" t="s">
        <v>15</v>
      </c>
      <c r="D496" s="1">
        <f>總表[[#This Row],[金額]]/總表[[#This Row],[單價]]</f>
        <v>0.13</v>
      </c>
      <c r="E496" s="5" t="str">
        <f t="shared" si="16"/>
        <v>台斤</v>
      </c>
      <c r="F496" s="6">
        <f t="shared" si="18"/>
        <v>100</v>
      </c>
      <c r="G496" s="7">
        <v>13</v>
      </c>
      <c r="H496" s="8" t="str">
        <f t="shared" si="17"/>
        <v/>
      </c>
    </row>
    <row r="497" spans="1:9" x14ac:dyDescent="0.3">
      <c r="A497" s="4">
        <v>45997</v>
      </c>
      <c r="B497" t="s">
        <v>44</v>
      </c>
      <c r="D497" s="1">
        <f>總表[[#This Row],[金額]]/總表[[#This Row],[單價]]</f>
        <v>0.18666666666666668</v>
      </c>
      <c r="E497" s="5" t="str">
        <f t="shared" si="16"/>
        <v>台斤</v>
      </c>
      <c r="F497" s="6">
        <f t="shared" si="18"/>
        <v>300</v>
      </c>
      <c r="G497" s="7">
        <v>56</v>
      </c>
      <c r="H497" s="8">
        <f t="shared" si="17"/>
        <v>1752</v>
      </c>
      <c r="I497">
        <v>1752</v>
      </c>
    </row>
    <row r="498" spans="1:9" x14ac:dyDescent="0.3">
      <c r="A498" s="4">
        <f t="shared" si="15"/>
        <v>45997</v>
      </c>
      <c r="B498" t="s">
        <v>64</v>
      </c>
      <c r="D498" s="1">
        <f>總表[[#This Row],[金額]]/總表[[#This Row],[單價]]</f>
        <v>0.12545454545454546</v>
      </c>
      <c r="E498" s="5" t="str">
        <f t="shared" si="16"/>
        <v>台斤</v>
      </c>
      <c r="F498" s="6">
        <f t="shared" si="18"/>
        <v>1100</v>
      </c>
      <c r="G498" s="7">
        <v>138</v>
      </c>
      <c r="H498" s="8" t="str">
        <f t="shared" si="17"/>
        <v/>
      </c>
    </row>
    <row r="499" spans="1:9" x14ac:dyDescent="0.3">
      <c r="A499" s="4">
        <f t="shared" si="15"/>
        <v>45997</v>
      </c>
      <c r="B499" t="s">
        <v>15</v>
      </c>
      <c r="D499" s="1">
        <f>總表[[#This Row],[金額]]/總表[[#This Row],[單價]]</f>
        <v>0.13</v>
      </c>
      <c r="E499" s="5" t="str">
        <f t="shared" si="16"/>
        <v>台斤</v>
      </c>
      <c r="F499" s="6">
        <f t="shared" si="18"/>
        <v>100</v>
      </c>
      <c r="G499" s="7">
        <v>13</v>
      </c>
      <c r="H499" s="8" t="str">
        <f t="shared" si="17"/>
        <v/>
      </c>
    </row>
    <row r="500" spans="1:9" x14ac:dyDescent="0.3">
      <c r="A500" s="4">
        <f t="shared" si="15"/>
        <v>45997</v>
      </c>
      <c r="B500" t="s">
        <v>36</v>
      </c>
      <c r="D500" s="1">
        <f>總表[[#This Row],[金額]]/總表[[#This Row],[單價]]</f>
        <v>1</v>
      </c>
      <c r="E500" s="5" t="str">
        <f t="shared" si="16"/>
        <v>台斤</v>
      </c>
      <c r="F500" s="6">
        <v>95</v>
      </c>
      <c r="G500" s="7">
        <v>95</v>
      </c>
      <c r="H500" s="8" t="str">
        <f t="shared" si="17"/>
        <v/>
      </c>
    </row>
    <row r="501" spans="1:9" x14ac:dyDescent="0.3">
      <c r="A501" s="4">
        <f t="shared" si="15"/>
        <v>45997</v>
      </c>
      <c r="B501" t="s">
        <v>48</v>
      </c>
      <c r="D501" s="1">
        <f>總表[[#This Row],[金額]]/總表[[#This Row],[單價]]</f>
        <v>0.5</v>
      </c>
      <c r="E501" s="5" t="str">
        <f t="shared" si="16"/>
        <v>台斤</v>
      </c>
      <c r="F501" s="6">
        <v>150</v>
      </c>
      <c r="G501" s="7">
        <v>75</v>
      </c>
      <c r="H501" s="8" t="str">
        <f t="shared" si="17"/>
        <v/>
      </c>
    </row>
    <row r="502" spans="1:9" x14ac:dyDescent="0.3">
      <c r="A502" s="4">
        <f t="shared" si="15"/>
        <v>45997</v>
      </c>
      <c r="B502" t="s">
        <v>38</v>
      </c>
      <c r="D502" s="1">
        <f>總表[[#This Row],[金額]]/總表[[#This Row],[單價]]</f>
        <v>4</v>
      </c>
      <c r="E502" s="5" t="str">
        <f t="shared" si="16"/>
        <v>盒</v>
      </c>
      <c r="F502" s="6">
        <v>95</v>
      </c>
      <c r="G502" s="7">
        <v>380</v>
      </c>
      <c r="H502" s="8" t="str">
        <f t="shared" si="17"/>
        <v/>
      </c>
    </row>
    <row r="503" spans="1:9" x14ac:dyDescent="0.3">
      <c r="A503" s="4">
        <f t="shared" si="15"/>
        <v>45997</v>
      </c>
      <c r="B503" t="s">
        <v>30</v>
      </c>
      <c r="D503" s="1">
        <f>總表[[#This Row],[金額]]/總表[[#This Row],[單價]]</f>
        <v>3</v>
      </c>
      <c r="E503" s="5" t="str">
        <f t="shared" si="16"/>
        <v>盒</v>
      </c>
      <c r="F503" s="6">
        <f t="shared" si="18"/>
        <v>280</v>
      </c>
      <c r="G503" s="7">
        <v>840</v>
      </c>
      <c r="H503" s="8" t="str">
        <f t="shared" si="17"/>
        <v/>
      </c>
    </row>
    <row r="504" spans="1:9" x14ac:dyDescent="0.3">
      <c r="A504" s="4">
        <f t="shared" si="15"/>
        <v>45997</v>
      </c>
      <c r="B504" t="s">
        <v>24</v>
      </c>
      <c r="D504" s="1">
        <f>總表[[#This Row],[金額]]/總表[[#This Row],[單價]]</f>
        <v>1</v>
      </c>
      <c r="E504" s="5" t="str">
        <f t="shared" si="16"/>
        <v>台斤</v>
      </c>
      <c r="F504" s="6">
        <f t="shared" si="18"/>
        <v>155</v>
      </c>
      <c r="G504" s="7">
        <v>155</v>
      </c>
      <c r="H504" s="8" t="str">
        <f t="shared" si="17"/>
        <v/>
      </c>
    </row>
    <row r="505" spans="1:9" x14ac:dyDescent="0.3">
      <c r="A505" s="4">
        <v>45998</v>
      </c>
      <c r="B505" t="s">
        <v>24</v>
      </c>
      <c r="D505" s="1">
        <f>總表[[#This Row],[金額]]/總表[[#This Row],[單價]]</f>
        <v>2</v>
      </c>
      <c r="E505" s="5" t="str">
        <f t="shared" si="16"/>
        <v>台斤</v>
      </c>
      <c r="F505" s="6">
        <f t="shared" si="18"/>
        <v>155</v>
      </c>
      <c r="G505" s="7">
        <v>310</v>
      </c>
      <c r="H505" s="8">
        <f t="shared" si="17"/>
        <v>4128</v>
      </c>
      <c r="I505">
        <v>4128</v>
      </c>
    </row>
    <row r="506" spans="1:9" x14ac:dyDescent="0.3">
      <c r="A506" s="4">
        <f t="shared" si="15"/>
        <v>45998</v>
      </c>
      <c r="B506" t="s">
        <v>18</v>
      </c>
      <c r="D506" s="1">
        <f>總表[[#This Row],[金額]]/總表[[#This Row],[單價]]</f>
        <v>2</v>
      </c>
      <c r="E506" s="5" t="str">
        <f t="shared" si="16"/>
        <v>台斤</v>
      </c>
      <c r="F506" s="6">
        <v>150</v>
      </c>
      <c r="G506" s="7">
        <v>300</v>
      </c>
      <c r="H506" s="8" t="str">
        <f t="shared" si="17"/>
        <v/>
      </c>
    </row>
    <row r="507" spans="1:9" x14ac:dyDescent="0.3">
      <c r="A507" s="4">
        <f t="shared" si="15"/>
        <v>45998</v>
      </c>
      <c r="B507" t="s">
        <v>20</v>
      </c>
      <c r="D507" s="1">
        <f>總表[[#This Row],[金額]]/總表[[#This Row],[單價]]</f>
        <v>2</v>
      </c>
      <c r="E507" s="5" t="str">
        <f t="shared" si="16"/>
        <v>台斤</v>
      </c>
      <c r="F507" s="6">
        <v>150</v>
      </c>
      <c r="G507" s="7">
        <v>300</v>
      </c>
      <c r="H507" s="8" t="str">
        <f t="shared" si="17"/>
        <v/>
      </c>
    </row>
    <row r="508" spans="1:9" x14ac:dyDescent="0.3">
      <c r="A508" s="4">
        <f t="shared" si="15"/>
        <v>45998</v>
      </c>
      <c r="B508" t="s">
        <v>38</v>
      </c>
      <c r="D508" s="1">
        <f>總表[[#This Row],[金額]]/總表[[#This Row],[單價]]</f>
        <v>6</v>
      </c>
      <c r="E508" s="5" t="str">
        <f t="shared" si="16"/>
        <v>盒</v>
      </c>
      <c r="F508" s="6">
        <v>95</v>
      </c>
      <c r="G508" s="7">
        <v>570</v>
      </c>
      <c r="H508" s="8" t="str">
        <f t="shared" si="17"/>
        <v/>
      </c>
    </row>
    <row r="509" spans="1:9" x14ac:dyDescent="0.3">
      <c r="A509" s="4">
        <f t="shared" si="15"/>
        <v>45998</v>
      </c>
      <c r="B509" t="s">
        <v>44</v>
      </c>
      <c r="D509" s="1">
        <f>總表[[#This Row],[金額]]/總表[[#This Row],[單價]]</f>
        <v>0.12666666666666668</v>
      </c>
      <c r="E509" s="5" t="str">
        <f t="shared" si="16"/>
        <v>台斤</v>
      </c>
      <c r="F509" s="6">
        <f t="shared" si="18"/>
        <v>300</v>
      </c>
      <c r="G509" s="7">
        <v>38</v>
      </c>
      <c r="H509" s="8" t="str">
        <f t="shared" si="17"/>
        <v/>
      </c>
    </row>
    <row r="510" spans="1:9" x14ac:dyDescent="0.3">
      <c r="A510" s="4">
        <f t="shared" si="15"/>
        <v>45998</v>
      </c>
      <c r="B510" t="s">
        <v>28</v>
      </c>
      <c r="D510" s="1">
        <f>總表[[#This Row],[金額]]/總表[[#This Row],[單價]]</f>
        <v>1</v>
      </c>
      <c r="E510" s="5" t="str">
        <f t="shared" si="16"/>
        <v>台斤</v>
      </c>
      <c r="F510" s="6">
        <f t="shared" si="18"/>
        <v>120</v>
      </c>
      <c r="G510" s="7">
        <v>120</v>
      </c>
      <c r="H510" s="8" t="str">
        <f t="shared" si="17"/>
        <v/>
      </c>
    </row>
    <row r="511" spans="1:9" x14ac:dyDescent="0.3">
      <c r="A511" s="4">
        <f t="shared" si="15"/>
        <v>45998</v>
      </c>
      <c r="B511" t="s">
        <v>40</v>
      </c>
      <c r="D511" s="1">
        <f>總表[[#This Row],[金額]]/總表[[#This Row],[單價]]</f>
        <v>15</v>
      </c>
      <c r="E511" s="5" t="str">
        <f t="shared" si="16"/>
        <v>台斤</v>
      </c>
      <c r="F511" s="6">
        <v>135</v>
      </c>
      <c r="G511" s="7">
        <v>2025</v>
      </c>
      <c r="H511" s="8" t="str">
        <f t="shared" si="17"/>
        <v/>
      </c>
    </row>
    <row r="512" spans="1:9" x14ac:dyDescent="0.3">
      <c r="A512" s="4">
        <f t="shared" si="15"/>
        <v>45998</v>
      </c>
      <c r="B512" t="s">
        <v>52</v>
      </c>
      <c r="D512" s="1">
        <f>總表[[#This Row],[金額]]/總表[[#This Row],[單價]]</f>
        <v>3</v>
      </c>
      <c r="E512" s="5" t="str">
        <f t="shared" si="16"/>
        <v>包</v>
      </c>
      <c r="F512" s="6">
        <f t="shared" si="18"/>
        <v>155</v>
      </c>
      <c r="G512" s="7">
        <v>465</v>
      </c>
      <c r="H512" s="8" t="str">
        <f t="shared" si="17"/>
        <v/>
      </c>
    </row>
    <row r="513" spans="1:9" x14ac:dyDescent="0.3">
      <c r="A513" s="4">
        <v>46001</v>
      </c>
      <c r="B513" t="s">
        <v>15</v>
      </c>
      <c r="D513" s="1">
        <f>總表[[#This Row],[金額]]/總表[[#This Row],[單價]]</f>
        <v>0.13</v>
      </c>
      <c r="E513" s="5" t="str">
        <f t="shared" si="16"/>
        <v>台斤</v>
      </c>
      <c r="F513" s="6">
        <f t="shared" si="18"/>
        <v>100</v>
      </c>
      <c r="G513" s="7">
        <v>13</v>
      </c>
      <c r="H513" s="8">
        <f t="shared" si="17"/>
        <v>1954</v>
      </c>
      <c r="I513">
        <v>1954</v>
      </c>
    </row>
    <row r="514" spans="1:9" x14ac:dyDescent="0.3">
      <c r="A514" s="4">
        <f t="shared" ref="A514:A577" si="19">IF(B514="","",A513)</f>
        <v>46001</v>
      </c>
      <c r="B514" t="s">
        <v>44</v>
      </c>
      <c r="D514" s="1">
        <f>總表[[#This Row],[金額]]/總表[[#This Row],[單價]]</f>
        <v>0.12666666666666668</v>
      </c>
      <c r="E514" s="5" t="str">
        <f t="shared" ref="E514:E577" si="20">_xlfn.IFNA(VLOOKUP(B514,$B:$G,4,0),"")</f>
        <v>台斤</v>
      </c>
      <c r="F514" s="6">
        <f t="shared" ref="F514:F577" si="21">_xlfn.IFNA(VLOOKUP(B514,$B:$G,5,0),"")</f>
        <v>300</v>
      </c>
      <c r="G514" s="7">
        <v>38</v>
      </c>
      <c r="H514" s="8" t="str">
        <f t="shared" ref="H514:H577" si="22">IF(A514&lt;&gt;A513,SUMIF(A:A, A514, G:G),"")</f>
        <v/>
      </c>
    </row>
    <row r="515" spans="1:9" x14ac:dyDescent="0.3">
      <c r="A515" s="4">
        <f t="shared" si="19"/>
        <v>46001</v>
      </c>
      <c r="B515" t="s">
        <v>38</v>
      </c>
      <c r="D515" s="1">
        <f>總表[[#This Row],[金額]]/總表[[#This Row],[單價]]</f>
        <v>4</v>
      </c>
      <c r="E515" s="5" t="str">
        <f t="shared" si="20"/>
        <v>盒</v>
      </c>
      <c r="F515" s="6">
        <v>95</v>
      </c>
      <c r="G515" s="7">
        <v>380</v>
      </c>
      <c r="H515" s="8" t="str">
        <f t="shared" si="22"/>
        <v/>
      </c>
    </row>
    <row r="516" spans="1:9" x14ac:dyDescent="0.3">
      <c r="A516" s="4">
        <f t="shared" si="19"/>
        <v>46001</v>
      </c>
      <c r="B516" t="s">
        <v>22</v>
      </c>
      <c r="D516" s="1">
        <f>總表[[#This Row],[金額]]/總表[[#This Row],[單價]]</f>
        <v>3.3684210526315788</v>
      </c>
      <c r="E516" s="5" t="str">
        <f t="shared" si="20"/>
        <v>台斤</v>
      </c>
      <c r="F516" s="6">
        <v>38</v>
      </c>
      <c r="G516" s="7">
        <v>128</v>
      </c>
      <c r="H516" s="8" t="str">
        <f t="shared" si="22"/>
        <v/>
      </c>
    </row>
    <row r="517" spans="1:9" x14ac:dyDescent="0.3">
      <c r="A517" s="4">
        <f t="shared" si="19"/>
        <v>46001</v>
      </c>
      <c r="B517" t="s">
        <v>24</v>
      </c>
      <c r="D517" s="1">
        <f>總表[[#This Row],[金額]]/總表[[#This Row],[單價]]</f>
        <v>1</v>
      </c>
      <c r="E517" s="5" t="str">
        <f t="shared" si="20"/>
        <v>台斤</v>
      </c>
      <c r="F517" s="6">
        <f t="shared" si="21"/>
        <v>155</v>
      </c>
      <c r="G517" s="7">
        <v>155</v>
      </c>
      <c r="H517" s="8" t="str">
        <f t="shared" si="22"/>
        <v/>
      </c>
    </row>
    <row r="518" spans="1:9" x14ac:dyDescent="0.3">
      <c r="A518" s="4">
        <f t="shared" si="19"/>
        <v>46001</v>
      </c>
      <c r="B518" t="s">
        <v>58</v>
      </c>
      <c r="D518" s="1">
        <f>總表[[#This Row],[金額]]/總表[[#This Row],[單價]]</f>
        <v>3</v>
      </c>
      <c r="E518" s="5" t="str">
        <f t="shared" si="20"/>
        <v>盒</v>
      </c>
      <c r="F518" s="6">
        <v>90</v>
      </c>
      <c r="G518" s="7">
        <v>270</v>
      </c>
      <c r="H518" s="8" t="str">
        <f t="shared" si="22"/>
        <v/>
      </c>
    </row>
    <row r="519" spans="1:9" x14ac:dyDescent="0.3">
      <c r="A519" s="4">
        <f t="shared" si="19"/>
        <v>46001</v>
      </c>
      <c r="B519" t="s">
        <v>30</v>
      </c>
      <c r="D519" s="1">
        <f>總表[[#This Row],[金額]]/總表[[#This Row],[單價]]</f>
        <v>3</v>
      </c>
      <c r="E519" s="5" t="str">
        <f t="shared" si="20"/>
        <v>盒</v>
      </c>
      <c r="F519" s="6">
        <f t="shared" si="21"/>
        <v>280</v>
      </c>
      <c r="G519" s="7">
        <v>840</v>
      </c>
      <c r="H519" s="8" t="str">
        <f t="shared" si="22"/>
        <v/>
      </c>
    </row>
    <row r="520" spans="1:9" x14ac:dyDescent="0.3">
      <c r="A520" s="4">
        <f t="shared" si="19"/>
        <v>46001</v>
      </c>
      <c r="B520" t="s">
        <v>16</v>
      </c>
      <c r="D520" s="1">
        <f>總表[[#This Row],[金額]]/總表[[#This Row],[單價]]</f>
        <v>1</v>
      </c>
      <c r="E520" s="5" t="str">
        <f t="shared" si="20"/>
        <v>台斤</v>
      </c>
      <c r="F520" s="6">
        <v>130</v>
      </c>
      <c r="G520" s="7">
        <v>130</v>
      </c>
      <c r="H520" s="8" t="str">
        <f t="shared" si="22"/>
        <v/>
      </c>
    </row>
    <row r="521" spans="1:9" x14ac:dyDescent="0.3">
      <c r="A521" s="4">
        <v>46003</v>
      </c>
      <c r="B521" t="s">
        <v>24</v>
      </c>
      <c r="D521" s="1">
        <f>總表[[#This Row],[金額]]/總表[[#This Row],[單價]]</f>
        <v>1</v>
      </c>
      <c r="E521" s="5" t="str">
        <f t="shared" si="20"/>
        <v>台斤</v>
      </c>
      <c r="F521" s="6">
        <f t="shared" si="21"/>
        <v>155</v>
      </c>
      <c r="G521" s="7">
        <v>155</v>
      </c>
      <c r="H521" s="8">
        <f t="shared" si="22"/>
        <v>5773</v>
      </c>
      <c r="I521">
        <v>5773</v>
      </c>
    </row>
    <row r="522" spans="1:9" x14ac:dyDescent="0.3">
      <c r="A522" s="4">
        <f t="shared" si="19"/>
        <v>46003</v>
      </c>
      <c r="B522" t="s">
        <v>18</v>
      </c>
      <c r="D522" s="1">
        <f>總表[[#This Row],[金額]]/總表[[#This Row],[單價]]</f>
        <v>2</v>
      </c>
      <c r="E522" s="5" t="str">
        <f t="shared" si="20"/>
        <v>台斤</v>
      </c>
      <c r="F522" s="6">
        <v>130</v>
      </c>
      <c r="G522" s="7">
        <v>260</v>
      </c>
      <c r="H522" s="8" t="str">
        <f t="shared" si="22"/>
        <v/>
      </c>
    </row>
    <row r="523" spans="1:9" x14ac:dyDescent="0.3">
      <c r="A523" s="4">
        <f t="shared" si="19"/>
        <v>46003</v>
      </c>
      <c r="B523" t="s">
        <v>20</v>
      </c>
      <c r="D523" s="1">
        <f>總表[[#This Row],[金額]]/總表[[#This Row],[單價]]</f>
        <v>2.0615384615384613</v>
      </c>
      <c r="E523" s="5" t="str">
        <f t="shared" si="20"/>
        <v>台斤</v>
      </c>
      <c r="F523" s="6">
        <v>130</v>
      </c>
      <c r="G523" s="7">
        <v>268</v>
      </c>
      <c r="H523" s="8" t="str">
        <f t="shared" si="22"/>
        <v/>
      </c>
    </row>
    <row r="524" spans="1:9" x14ac:dyDescent="0.3">
      <c r="A524" s="4">
        <f t="shared" si="19"/>
        <v>46003</v>
      </c>
      <c r="B524" t="s">
        <v>22</v>
      </c>
      <c r="D524" s="1">
        <f>總表[[#This Row],[金額]]/總表[[#This Row],[單價]]</f>
        <v>3.5526315789473686</v>
      </c>
      <c r="E524" s="5" t="str">
        <f t="shared" si="20"/>
        <v>台斤</v>
      </c>
      <c r="F524" s="6">
        <v>38</v>
      </c>
      <c r="G524" s="7">
        <v>135</v>
      </c>
      <c r="H524" s="8" t="str">
        <f t="shared" si="22"/>
        <v/>
      </c>
    </row>
    <row r="525" spans="1:9" x14ac:dyDescent="0.3">
      <c r="A525" s="4">
        <f t="shared" si="19"/>
        <v>46003</v>
      </c>
      <c r="B525" t="s">
        <v>28</v>
      </c>
      <c r="D525" s="1">
        <f>總表[[#This Row],[金額]]/總表[[#This Row],[單價]]</f>
        <v>1</v>
      </c>
      <c r="E525" s="5" t="str">
        <f t="shared" si="20"/>
        <v>台斤</v>
      </c>
      <c r="F525" s="6">
        <v>120</v>
      </c>
      <c r="G525" s="7">
        <v>120</v>
      </c>
      <c r="H525" s="8" t="str">
        <f t="shared" si="22"/>
        <v/>
      </c>
    </row>
    <row r="526" spans="1:9" x14ac:dyDescent="0.3">
      <c r="A526" s="4">
        <f t="shared" si="19"/>
        <v>46003</v>
      </c>
      <c r="B526" t="s">
        <v>62</v>
      </c>
      <c r="D526" s="1">
        <f>總表[[#This Row],[金額]]/總表[[#This Row],[單價]]</f>
        <v>10</v>
      </c>
      <c r="E526" s="5" t="str">
        <f t="shared" si="20"/>
        <v>台斤</v>
      </c>
      <c r="F526" s="6">
        <f t="shared" si="21"/>
        <v>340</v>
      </c>
      <c r="G526" s="7">
        <v>3400</v>
      </c>
      <c r="H526" s="8" t="str">
        <f t="shared" si="22"/>
        <v/>
      </c>
    </row>
    <row r="527" spans="1:9" x14ac:dyDescent="0.3">
      <c r="A527" s="4">
        <f t="shared" si="19"/>
        <v>46003</v>
      </c>
      <c r="B527" t="s">
        <v>22</v>
      </c>
      <c r="D527" s="1">
        <f>總表[[#This Row],[金額]]/總表[[#This Row],[單價]]</f>
        <v>10.75</v>
      </c>
      <c r="E527" s="5" t="str">
        <f t="shared" si="20"/>
        <v>台斤</v>
      </c>
      <c r="F527" s="6">
        <f t="shared" si="21"/>
        <v>40</v>
      </c>
      <c r="G527" s="7">
        <v>430</v>
      </c>
      <c r="H527" s="8" t="str">
        <f t="shared" si="22"/>
        <v/>
      </c>
    </row>
    <row r="528" spans="1:9" x14ac:dyDescent="0.3">
      <c r="A528" s="4">
        <f t="shared" si="19"/>
        <v>46003</v>
      </c>
      <c r="B528" t="s">
        <v>44</v>
      </c>
      <c r="D528" s="1">
        <f>總表[[#This Row],[金額]]/總表[[#This Row],[單價]]</f>
        <v>0.25</v>
      </c>
      <c r="E528" s="5" t="str">
        <f t="shared" si="20"/>
        <v>台斤</v>
      </c>
      <c r="F528" s="6">
        <f t="shared" si="21"/>
        <v>300</v>
      </c>
      <c r="G528" s="7">
        <v>75</v>
      </c>
      <c r="H528" s="8" t="str">
        <f t="shared" si="22"/>
        <v/>
      </c>
    </row>
    <row r="529" spans="1:9" x14ac:dyDescent="0.3">
      <c r="A529" s="4">
        <f t="shared" si="19"/>
        <v>46003</v>
      </c>
      <c r="B529" t="s">
        <v>38</v>
      </c>
      <c r="D529" s="1">
        <f>總表[[#This Row],[金額]]/總表[[#This Row],[單價]]</f>
        <v>6</v>
      </c>
      <c r="E529" s="5" t="str">
        <f t="shared" si="20"/>
        <v>盒</v>
      </c>
      <c r="F529" s="6">
        <v>95</v>
      </c>
      <c r="G529" s="7">
        <v>570</v>
      </c>
      <c r="H529" s="8" t="str">
        <f t="shared" si="22"/>
        <v/>
      </c>
    </row>
    <row r="530" spans="1:9" x14ac:dyDescent="0.3">
      <c r="A530" s="4">
        <f t="shared" si="19"/>
        <v>46003</v>
      </c>
      <c r="B530" t="s">
        <v>58</v>
      </c>
      <c r="D530" s="1">
        <f>總表[[#This Row],[金額]]/總表[[#This Row],[單價]]</f>
        <v>4</v>
      </c>
      <c r="E530" s="5" t="str">
        <f t="shared" si="20"/>
        <v>盒</v>
      </c>
      <c r="F530" s="6">
        <v>90</v>
      </c>
      <c r="G530" s="7">
        <v>360</v>
      </c>
      <c r="H530" s="8" t="str">
        <f t="shared" si="22"/>
        <v/>
      </c>
    </row>
    <row r="531" spans="1:9" x14ac:dyDescent="0.3">
      <c r="A531" s="4">
        <v>46004</v>
      </c>
      <c r="B531" t="s">
        <v>15</v>
      </c>
      <c r="D531" s="1">
        <f>總表[[#This Row],[金額]]/總表[[#This Row],[單價]]</f>
        <v>0.19</v>
      </c>
      <c r="E531" s="5" t="str">
        <f t="shared" si="20"/>
        <v>台斤</v>
      </c>
      <c r="F531" s="6">
        <f t="shared" si="21"/>
        <v>100</v>
      </c>
      <c r="G531" s="7">
        <v>19</v>
      </c>
      <c r="H531" s="8">
        <f t="shared" si="22"/>
        <v>2029</v>
      </c>
      <c r="I531">
        <v>2029</v>
      </c>
    </row>
    <row r="532" spans="1:9" x14ac:dyDescent="0.3">
      <c r="A532" s="4">
        <f t="shared" si="19"/>
        <v>46004</v>
      </c>
      <c r="B532" t="s">
        <v>38</v>
      </c>
      <c r="D532" s="1">
        <f>總表[[#This Row],[金額]]/總表[[#This Row],[單價]]</f>
        <v>3</v>
      </c>
      <c r="E532" s="5" t="str">
        <f t="shared" si="20"/>
        <v>盒</v>
      </c>
      <c r="F532" s="6">
        <v>95</v>
      </c>
      <c r="G532" s="7">
        <v>285</v>
      </c>
      <c r="H532" s="8" t="str">
        <f t="shared" si="22"/>
        <v/>
      </c>
    </row>
    <row r="533" spans="1:9" x14ac:dyDescent="0.3">
      <c r="A533" s="4">
        <f t="shared" si="19"/>
        <v>46004</v>
      </c>
      <c r="B533" t="s">
        <v>48</v>
      </c>
      <c r="D533" s="1">
        <f>總表[[#This Row],[金額]]/總表[[#This Row],[單價]]</f>
        <v>0.5</v>
      </c>
      <c r="E533" s="5" t="str">
        <f t="shared" si="20"/>
        <v>台斤</v>
      </c>
      <c r="F533" s="6">
        <v>150</v>
      </c>
      <c r="G533" s="7">
        <v>75</v>
      </c>
      <c r="H533" s="8" t="str">
        <f t="shared" si="22"/>
        <v/>
      </c>
    </row>
    <row r="534" spans="1:9" x14ac:dyDescent="0.3">
      <c r="A534" s="4">
        <f t="shared" si="19"/>
        <v>46004</v>
      </c>
      <c r="B534" t="s">
        <v>36</v>
      </c>
      <c r="D534" s="1">
        <f>總表[[#This Row],[金額]]/總表[[#This Row],[單價]]</f>
        <v>1</v>
      </c>
      <c r="E534" s="5" t="str">
        <f t="shared" si="20"/>
        <v>台斤</v>
      </c>
      <c r="F534" s="6">
        <v>95</v>
      </c>
      <c r="G534" s="7">
        <v>95</v>
      </c>
      <c r="H534" s="8" t="str">
        <f t="shared" si="22"/>
        <v/>
      </c>
    </row>
    <row r="535" spans="1:9" x14ac:dyDescent="0.3">
      <c r="A535" s="4">
        <f t="shared" si="19"/>
        <v>46004</v>
      </c>
      <c r="B535" t="s">
        <v>34</v>
      </c>
      <c r="D535" s="1">
        <f>總表[[#This Row],[金額]]/總表[[#This Row],[單價]]</f>
        <v>2</v>
      </c>
      <c r="E535" s="5" t="str">
        <f t="shared" si="20"/>
        <v>台斤</v>
      </c>
      <c r="F535" s="6">
        <v>200</v>
      </c>
      <c r="G535" s="7">
        <v>400</v>
      </c>
      <c r="H535" s="8" t="str">
        <f t="shared" si="22"/>
        <v/>
      </c>
    </row>
    <row r="536" spans="1:9" x14ac:dyDescent="0.3">
      <c r="A536" s="4">
        <f t="shared" si="19"/>
        <v>46004</v>
      </c>
      <c r="B536" t="s">
        <v>24</v>
      </c>
      <c r="D536" s="1">
        <f>總表[[#This Row],[金額]]/總表[[#This Row],[單價]]</f>
        <v>1</v>
      </c>
      <c r="E536" s="5" t="str">
        <f t="shared" si="20"/>
        <v>台斤</v>
      </c>
      <c r="F536" s="6">
        <f t="shared" si="21"/>
        <v>155</v>
      </c>
      <c r="G536" s="7">
        <v>155</v>
      </c>
      <c r="H536" s="8" t="str">
        <f t="shared" si="22"/>
        <v/>
      </c>
    </row>
    <row r="537" spans="1:9" x14ac:dyDescent="0.3">
      <c r="A537" s="4">
        <f t="shared" si="19"/>
        <v>46004</v>
      </c>
      <c r="B537" t="s">
        <v>50</v>
      </c>
      <c r="D537" s="1">
        <f>總表[[#This Row],[金額]]/總表[[#This Row],[單價]]</f>
        <v>1</v>
      </c>
      <c r="E537" s="5" t="str">
        <f t="shared" si="20"/>
        <v>台斤</v>
      </c>
      <c r="F537" s="6">
        <v>160</v>
      </c>
      <c r="G537" s="7">
        <v>160</v>
      </c>
      <c r="H537" s="8" t="str">
        <f t="shared" si="22"/>
        <v/>
      </c>
    </row>
    <row r="538" spans="1:9" x14ac:dyDescent="0.3">
      <c r="A538" s="4">
        <f t="shared" si="19"/>
        <v>46004</v>
      </c>
      <c r="B538" t="s">
        <v>30</v>
      </c>
      <c r="D538" s="1">
        <f>總表[[#This Row],[金額]]/總表[[#This Row],[單價]]</f>
        <v>3</v>
      </c>
      <c r="E538" s="5" t="str">
        <f t="shared" si="20"/>
        <v>盒</v>
      </c>
      <c r="F538" s="6">
        <f t="shared" si="21"/>
        <v>280</v>
      </c>
      <c r="G538" s="7">
        <v>840</v>
      </c>
      <c r="H538" s="8" t="str">
        <f t="shared" si="22"/>
        <v/>
      </c>
    </row>
    <row r="539" spans="1:9" x14ac:dyDescent="0.3">
      <c r="A539" s="4">
        <v>46005</v>
      </c>
      <c r="B539" t="s">
        <v>44</v>
      </c>
      <c r="D539" s="1">
        <f>總表[[#This Row],[金額]]/總表[[#This Row],[單價]]</f>
        <v>0.18666666666666668</v>
      </c>
      <c r="E539" s="5" t="str">
        <f t="shared" si="20"/>
        <v>台斤</v>
      </c>
      <c r="F539" s="6">
        <f t="shared" si="21"/>
        <v>300</v>
      </c>
      <c r="G539" s="7">
        <v>56</v>
      </c>
      <c r="H539" s="8">
        <f>IF(A539&lt;&gt;A538,SUMIF(A:A, A539, G:G),"")</f>
        <v>2526</v>
      </c>
      <c r="I539">
        <v>2526</v>
      </c>
    </row>
    <row r="540" spans="1:9" x14ac:dyDescent="0.3">
      <c r="A540" s="4">
        <f t="shared" si="19"/>
        <v>46005</v>
      </c>
      <c r="B540" t="s">
        <v>15</v>
      </c>
      <c r="D540" s="1">
        <f>總表[[#This Row],[金額]]/總表[[#This Row],[單價]]</f>
        <v>0.19</v>
      </c>
      <c r="E540" s="5" t="str">
        <f t="shared" si="20"/>
        <v>台斤</v>
      </c>
      <c r="F540" s="6">
        <f t="shared" si="21"/>
        <v>100</v>
      </c>
      <c r="G540" s="7">
        <v>19</v>
      </c>
      <c r="H540" s="8" t="str">
        <f t="shared" si="22"/>
        <v/>
      </c>
    </row>
    <row r="541" spans="1:9" x14ac:dyDescent="0.3">
      <c r="A541" s="4">
        <f t="shared" si="19"/>
        <v>46005</v>
      </c>
      <c r="B541" t="s">
        <v>64</v>
      </c>
      <c r="D541" s="1">
        <f>總表[[#This Row],[金額]]/總表[[#This Row],[單價]]</f>
        <v>0.12545454545454546</v>
      </c>
      <c r="E541" s="5" t="str">
        <f t="shared" si="20"/>
        <v>台斤</v>
      </c>
      <c r="F541" s="6">
        <f t="shared" si="21"/>
        <v>1100</v>
      </c>
      <c r="G541" s="7">
        <v>138</v>
      </c>
      <c r="H541" s="8" t="str">
        <f t="shared" si="22"/>
        <v/>
      </c>
    </row>
    <row r="542" spans="1:9" x14ac:dyDescent="0.3">
      <c r="A542" s="4">
        <f t="shared" si="19"/>
        <v>46005</v>
      </c>
      <c r="B542" t="s">
        <v>28</v>
      </c>
      <c r="D542" s="1">
        <f>總表[[#This Row],[金額]]/總表[[#This Row],[單價]]</f>
        <v>1</v>
      </c>
      <c r="E542" s="5" t="str">
        <f t="shared" si="20"/>
        <v>台斤</v>
      </c>
      <c r="F542" s="6">
        <f t="shared" si="21"/>
        <v>120</v>
      </c>
      <c r="G542" s="7">
        <v>120</v>
      </c>
      <c r="H542" s="8" t="str">
        <f t="shared" si="22"/>
        <v/>
      </c>
    </row>
    <row r="543" spans="1:9" x14ac:dyDescent="0.3">
      <c r="A543" s="4">
        <f t="shared" si="19"/>
        <v>46005</v>
      </c>
      <c r="B543" t="s">
        <v>38</v>
      </c>
      <c r="D543" s="1">
        <f>總表[[#This Row],[金額]]/總表[[#This Row],[單價]]</f>
        <v>4</v>
      </c>
      <c r="E543" s="5" t="str">
        <f t="shared" si="20"/>
        <v>盒</v>
      </c>
      <c r="F543" s="6">
        <v>95</v>
      </c>
      <c r="G543" s="7">
        <v>380</v>
      </c>
      <c r="H543" s="8" t="str">
        <f t="shared" si="22"/>
        <v/>
      </c>
    </row>
    <row r="544" spans="1:9" x14ac:dyDescent="0.3">
      <c r="A544" s="4">
        <f t="shared" si="19"/>
        <v>46005</v>
      </c>
      <c r="B544" t="s">
        <v>24</v>
      </c>
      <c r="D544" s="1">
        <f>總表[[#This Row],[金額]]/總表[[#This Row],[單價]]</f>
        <v>1</v>
      </c>
      <c r="E544" s="5" t="str">
        <f t="shared" si="20"/>
        <v>台斤</v>
      </c>
      <c r="F544" s="6">
        <f t="shared" si="21"/>
        <v>155</v>
      </c>
      <c r="G544" s="7">
        <v>155</v>
      </c>
      <c r="H544" s="8" t="str">
        <f t="shared" si="22"/>
        <v/>
      </c>
    </row>
    <row r="545" spans="1:9" x14ac:dyDescent="0.3">
      <c r="A545" s="4">
        <f t="shared" si="19"/>
        <v>46005</v>
      </c>
      <c r="B545" t="s">
        <v>16</v>
      </c>
      <c r="D545" s="1">
        <f>總表[[#This Row],[金額]]/總表[[#This Row],[單價]]</f>
        <v>1</v>
      </c>
      <c r="E545" s="5" t="str">
        <f t="shared" si="20"/>
        <v>台斤</v>
      </c>
      <c r="F545" s="6">
        <v>130</v>
      </c>
      <c r="G545" s="7">
        <v>130</v>
      </c>
      <c r="H545" s="8" t="str">
        <f t="shared" si="22"/>
        <v/>
      </c>
    </row>
    <row r="546" spans="1:9" x14ac:dyDescent="0.3">
      <c r="A546" s="4">
        <f t="shared" si="19"/>
        <v>46005</v>
      </c>
      <c r="B546" t="s">
        <v>56</v>
      </c>
      <c r="D546" s="1">
        <f>總表[[#This Row],[金額]]/總表[[#This Row],[單價]]</f>
        <v>10</v>
      </c>
      <c r="E546" s="5" t="str">
        <f t="shared" si="20"/>
        <v>台斤</v>
      </c>
      <c r="F546" s="6">
        <v>130</v>
      </c>
      <c r="G546" s="7">
        <v>1300</v>
      </c>
      <c r="H546" s="8" t="str">
        <f t="shared" si="22"/>
        <v/>
      </c>
    </row>
    <row r="547" spans="1:9" x14ac:dyDescent="0.3">
      <c r="A547" s="4">
        <f t="shared" si="19"/>
        <v>46005</v>
      </c>
      <c r="B547" t="s">
        <v>22</v>
      </c>
      <c r="D547" s="1">
        <f>總表[[#This Row],[金額]]/總表[[#This Row],[單價]]</f>
        <v>3.3684210526315788</v>
      </c>
      <c r="E547" s="5" t="str">
        <f t="shared" si="20"/>
        <v>台斤</v>
      </c>
      <c r="F547" s="6">
        <v>38</v>
      </c>
      <c r="G547" s="7">
        <v>128</v>
      </c>
      <c r="H547" s="8" t="str">
        <f t="shared" si="22"/>
        <v/>
      </c>
    </row>
    <row r="548" spans="1:9" x14ac:dyDescent="0.3">
      <c r="A548" s="4">
        <f t="shared" si="19"/>
        <v>46005</v>
      </c>
      <c r="B548" t="s">
        <v>26</v>
      </c>
      <c r="D548" s="1">
        <f t="shared" ref="D523:D586" si="23">_xlfn.IFNA(VLOOKUP(B548,$B:$G,3,0),"")</f>
        <v>1</v>
      </c>
      <c r="E548" s="5" t="str">
        <f t="shared" si="20"/>
        <v>包</v>
      </c>
      <c r="F548" s="6">
        <f t="shared" si="21"/>
        <v>100</v>
      </c>
      <c r="G548" s="7">
        <f>IFERROR(總表[[#This Row],[數量]]*總表[[#This Row],[單價]],"")</f>
        <v>100</v>
      </c>
      <c r="H548" s="8" t="str">
        <f t="shared" si="22"/>
        <v/>
      </c>
    </row>
    <row r="549" spans="1:9" x14ac:dyDescent="0.3">
      <c r="A549" s="4">
        <v>46007</v>
      </c>
      <c r="B549" t="s">
        <v>78</v>
      </c>
      <c r="D549" s="1">
        <f t="shared" si="23"/>
        <v>6</v>
      </c>
      <c r="E549" s="5" t="str">
        <f t="shared" si="20"/>
        <v>台斤</v>
      </c>
      <c r="F549" s="6">
        <f t="shared" si="21"/>
        <v>200</v>
      </c>
      <c r="G549" s="7">
        <f>IFERROR(總表[[#This Row],[數量]]*總表[[#This Row],[單價]],"")</f>
        <v>1200</v>
      </c>
      <c r="H549" s="8">
        <f t="shared" si="22"/>
        <v>2501.4900000000002</v>
      </c>
      <c r="I549">
        <v>2501</v>
      </c>
    </row>
    <row r="550" spans="1:9" x14ac:dyDescent="0.3">
      <c r="A550" s="4">
        <f t="shared" si="19"/>
        <v>46007</v>
      </c>
      <c r="B550" t="s">
        <v>22</v>
      </c>
      <c r="D550" s="1">
        <v>2.88</v>
      </c>
      <c r="E550" s="5" t="str">
        <f t="shared" si="20"/>
        <v>台斤</v>
      </c>
      <c r="F550" s="6">
        <v>38</v>
      </c>
      <c r="G550" s="7">
        <f>IFERROR(總表[[#This Row],[數量]]*總表[[#This Row],[單價]],"")</f>
        <v>109.44</v>
      </c>
      <c r="H550" s="8" t="str">
        <f t="shared" si="22"/>
        <v/>
      </c>
    </row>
    <row r="551" spans="1:9" x14ac:dyDescent="0.3">
      <c r="A551" s="4">
        <f t="shared" si="19"/>
        <v>46007</v>
      </c>
      <c r="B551" t="s">
        <v>28</v>
      </c>
      <c r="D551" s="1">
        <f t="shared" si="23"/>
        <v>1</v>
      </c>
      <c r="E551" s="5" t="str">
        <f t="shared" si="20"/>
        <v>台斤</v>
      </c>
      <c r="F551" s="6">
        <f t="shared" si="21"/>
        <v>120</v>
      </c>
      <c r="G551" s="7">
        <f>IFERROR(總表[[#This Row],[數量]]*總表[[#This Row],[單價]],"")</f>
        <v>120</v>
      </c>
      <c r="H551" s="8" t="str">
        <f t="shared" si="22"/>
        <v/>
      </c>
    </row>
    <row r="552" spans="1:9" x14ac:dyDescent="0.3">
      <c r="A552" s="4">
        <f t="shared" si="19"/>
        <v>46007</v>
      </c>
      <c r="B552" t="s">
        <v>52</v>
      </c>
      <c r="D552" s="1">
        <v>4</v>
      </c>
      <c r="E552" s="5" t="str">
        <f t="shared" si="20"/>
        <v>包</v>
      </c>
      <c r="F552" s="6">
        <f t="shared" si="21"/>
        <v>155</v>
      </c>
      <c r="G552" s="7">
        <f>IFERROR(總表[[#This Row],[數量]]*總表[[#This Row],[單價]],"")</f>
        <v>620</v>
      </c>
      <c r="H552" s="8" t="str">
        <f t="shared" si="22"/>
        <v/>
      </c>
    </row>
    <row r="553" spans="1:9" x14ac:dyDescent="0.3">
      <c r="A553" s="4">
        <f t="shared" si="19"/>
        <v>46007</v>
      </c>
      <c r="B553" t="s">
        <v>15</v>
      </c>
      <c r="D553" s="1">
        <v>0.13</v>
      </c>
      <c r="E553" s="5" t="str">
        <f t="shared" si="20"/>
        <v>台斤</v>
      </c>
      <c r="F553" s="6">
        <f t="shared" si="21"/>
        <v>100</v>
      </c>
      <c r="G553" s="7">
        <f>IFERROR(總表[[#This Row],[數量]]*總表[[#This Row],[單價]],"")</f>
        <v>13</v>
      </c>
      <c r="H553" s="8" t="str">
        <f t="shared" si="22"/>
        <v/>
      </c>
    </row>
    <row r="554" spans="1:9" x14ac:dyDescent="0.3">
      <c r="A554" s="4">
        <f t="shared" si="19"/>
        <v>46007</v>
      </c>
      <c r="B554" t="s">
        <v>24</v>
      </c>
      <c r="D554" s="1">
        <v>1</v>
      </c>
      <c r="E554" s="5" t="str">
        <f t="shared" si="20"/>
        <v>台斤</v>
      </c>
      <c r="F554" s="6">
        <f t="shared" si="21"/>
        <v>155</v>
      </c>
      <c r="G554" s="7">
        <f>IFERROR(總表[[#This Row],[數量]]*總表[[#This Row],[單價]],"")</f>
        <v>155</v>
      </c>
      <c r="H554" s="8" t="str">
        <f t="shared" si="22"/>
        <v/>
      </c>
    </row>
    <row r="555" spans="1:9" x14ac:dyDescent="0.3">
      <c r="A555" s="4">
        <f t="shared" si="19"/>
        <v>46007</v>
      </c>
      <c r="B555" t="s">
        <v>18</v>
      </c>
      <c r="D555" s="1">
        <v>1</v>
      </c>
      <c r="E555" s="5" t="str">
        <f t="shared" si="20"/>
        <v>台斤</v>
      </c>
      <c r="F555" s="6">
        <v>130</v>
      </c>
      <c r="G555" s="7">
        <f>IFERROR(總表[[#This Row],[數量]]*總表[[#This Row],[單價]],"")</f>
        <v>130</v>
      </c>
      <c r="H555" s="8" t="str">
        <f t="shared" si="22"/>
        <v/>
      </c>
    </row>
    <row r="556" spans="1:9" x14ac:dyDescent="0.3">
      <c r="A556" s="4">
        <f t="shared" si="19"/>
        <v>46007</v>
      </c>
      <c r="B556" t="s">
        <v>20</v>
      </c>
      <c r="D556" s="1">
        <v>1.1850000000000001</v>
      </c>
      <c r="E556" s="5" t="str">
        <f t="shared" si="20"/>
        <v>台斤</v>
      </c>
      <c r="F556" s="6">
        <v>130</v>
      </c>
      <c r="G556" s="7">
        <f>IFERROR(總表[[#This Row],[數量]]*總表[[#This Row],[單價]],"")</f>
        <v>154.05000000000001</v>
      </c>
      <c r="H556" s="8" t="str">
        <f t="shared" si="22"/>
        <v/>
      </c>
    </row>
    <row r="557" spans="1:9" x14ac:dyDescent="0.3">
      <c r="A557" s="4">
        <v>46008</v>
      </c>
      <c r="B557" t="s">
        <v>24</v>
      </c>
      <c r="D557" s="1">
        <v>1</v>
      </c>
      <c r="E557" s="5" t="str">
        <f t="shared" si="20"/>
        <v>台斤</v>
      </c>
      <c r="F557" s="6">
        <f t="shared" si="21"/>
        <v>155</v>
      </c>
      <c r="G557" s="7">
        <f>IFERROR(總表[[#This Row],[數量]]*總表[[#This Row],[單價]],"")</f>
        <v>155</v>
      </c>
      <c r="H557" s="8">
        <f t="shared" si="22"/>
        <v>4659.5200000000004</v>
      </c>
      <c r="I557">
        <v>4660</v>
      </c>
    </row>
    <row r="558" spans="1:9" x14ac:dyDescent="0.3">
      <c r="A558" s="4">
        <f t="shared" si="19"/>
        <v>46008</v>
      </c>
      <c r="B558" t="s">
        <v>40</v>
      </c>
      <c r="D558" s="1">
        <f t="shared" si="23"/>
        <v>15</v>
      </c>
      <c r="E558" s="5" t="str">
        <f t="shared" si="20"/>
        <v>台斤</v>
      </c>
      <c r="F558" s="6">
        <v>135</v>
      </c>
      <c r="G558" s="7">
        <f>IFERROR(總表[[#This Row],[數量]]*總表[[#This Row],[單價]],"")</f>
        <v>2025</v>
      </c>
      <c r="H558" s="8" t="str">
        <f t="shared" si="22"/>
        <v/>
      </c>
    </row>
    <row r="559" spans="1:9" x14ac:dyDescent="0.3">
      <c r="A559" s="4">
        <f t="shared" si="19"/>
        <v>46008</v>
      </c>
      <c r="B559" t="s">
        <v>30</v>
      </c>
      <c r="D559" s="1">
        <f t="shared" si="23"/>
        <v>4</v>
      </c>
      <c r="E559" s="5" t="str">
        <f t="shared" si="20"/>
        <v>盒</v>
      </c>
      <c r="F559" s="6">
        <f t="shared" si="21"/>
        <v>280</v>
      </c>
      <c r="G559" s="7">
        <f>IFERROR(總表[[#This Row],[數量]]*總表[[#This Row],[單價]],"")</f>
        <v>1120</v>
      </c>
      <c r="H559" s="8" t="str">
        <f t="shared" si="22"/>
        <v/>
      </c>
    </row>
    <row r="560" spans="1:9" x14ac:dyDescent="0.3">
      <c r="A560" s="4">
        <f t="shared" si="19"/>
        <v>46008</v>
      </c>
      <c r="B560" t="s">
        <v>38</v>
      </c>
      <c r="D560" s="1">
        <v>6</v>
      </c>
      <c r="E560" s="5" t="str">
        <f t="shared" si="20"/>
        <v>盒</v>
      </c>
      <c r="F560" s="6">
        <v>95</v>
      </c>
      <c r="G560" s="7">
        <f>IFERROR(總表[[#This Row],[數量]]*總表[[#This Row],[單價]],"")</f>
        <v>570</v>
      </c>
      <c r="H560" s="8" t="str">
        <f t="shared" si="22"/>
        <v/>
      </c>
    </row>
    <row r="561" spans="1:9" x14ac:dyDescent="0.3">
      <c r="A561" s="4">
        <f t="shared" si="19"/>
        <v>46008</v>
      </c>
      <c r="B561" t="s">
        <v>58</v>
      </c>
      <c r="D561" s="1">
        <f t="shared" si="23"/>
        <v>4</v>
      </c>
      <c r="E561" s="5" t="str">
        <f t="shared" si="20"/>
        <v>盒</v>
      </c>
      <c r="F561" s="6">
        <v>90</v>
      </c>
      <c r="G561" s="7">
        <f>IFERROR(總表[[#This Row],[數量]]*總表[[#This Row],[單價]],"")</f>
        <v>360</v>
      </c>
      <c r="H561" s="8" t="str">
        <f t="shared" si="22"/>
        <v/>
      </c>
    </row>
    <row r="562" spans="1:9" x14ac:dyDescent="0.3">
      <c r="A562" s="4">
        <f t="shared" si="19"/>
        <v>46008</v>
      </c>
      <c r="B562" t="s">
        <v>18</v>
      </c>
      <c r="D562" s="1">
        <f t="shared" si="23"/>
        <v>1.1839999999999999</v>
      </c>
      <c r="E562" s="5" t="str">
        <f t="shared" si="20"/>
        <v>台斤</v>
      </c>
      <c r="F562" s="6">
        <v>130</v>
      </c>
      <c r="G562" s="7">
        <f>IFERROR(總表[[#This Row],[數量]]*總表[[#This Row],[單價]],"")</f>
        <v>153.91999999999999</v>
      </c>
      <c r="H562" s="8" t="str">
        <f t="shared" si="22"/>
        <v/>
      </c>
    </row>
    <row r="563" spans="1:9" x14ac:dyDescent="0.3">
      <c r="A563" s="4">
        <f t="shared" si="19"/>
        <v>46008</v>
      </c>
      <c r="B563" t="s">
        <v>20</v>
      </c>
      <c r="D563" s="1">
        <v>1.1200000000000001</v>
      </c>
      <c r="E563" s="5" t="str">
        <f t="shared" si="20"/>
        <v>台斤</v>
      </c>
      <c r="F563" s="6">
        <v>130</v>
      </c>
      <c r="G563" s="7">
        <f>IFERROR(總表[[#This Row],[數量]]*總表[[#This Row],[單價]],"")</f>
        <v>145.60000000000002</v>
      </c>
      <c r="H563" s="8" t="str">
        <f t="shared" si="22"/>
        <v/>
      </c>
    </row>
    <row r="564" spans="1:9" x14ac:dyDescent="0.3">
      <c r="A564" s="4">
        <f t="shared" si="19"/>
        <v>46008</v>
      </c>
      <c r="B564" t="s">
        <v>54</v>
      </c>
      <c r="D564" s="1">
        <f t="shared" si="23"/>
        <v>1</v>
      </c>
      <c r="E564" s="5" t="str">
        <f t="shared" si="20"/>
        <v>包</v>
      </c>
      <c r="F564" s="6">
        <v>130</v>
      </c>
      <c r="G564" s="7">
        <f>IFERROR(總表[[#This Row],[數量]]*總表[[#This Row],[單價]],"")</f>
        <v>130</v>
      </c>
      <c r="H564" s="8" t="str">
        <f t="shared" si="22"/>
        <v/>
      </c>
    </row>
    <row r="565" spans="1:9" x14ac:dyDescent="0.3">
      <c r="A565" s="4">
        <v>46010</v>
      </c>
      <c r="B565" t="s">
        <v>15</v>
      </c>
      <c r="D565" s="1">
        <f t="shared" si="23"/>
        <v>0.19</v>
      </c>
      <c r="E565" s="5" t="str">
        <f t="shared" si="20"/>
        <v>台斤</v>
      </c>
      <c r="F565" s="6">
        <f t="shared" si="21"/>
        <v>100</v>
      </c>
      <c r="G565" s="7">
        <f>IFERROR(總表[[#This Row],[數量]]*總表[[#This Row],[單價]],"")</f>
        <v>19</v>
      </c>
      <c r="H565" s="8">
        <f t="shared" si="22"/>
        <v>1164.2</v>
      </c>
      <c r="I565">
        <v>1164</v>
      </c>
    </row>
    <row r="566" spans="1:9" x14ac:dyDescent="0.3">
      <c r="A566" s="4">
        <f t="shared" si="19"/>
        <v>46010</v>
      </c>
      <c r="B566" t="s">
        <v>44</v>
      </c>
      <c r="D566" s="1">
        <v>0.314</v>
      </c>
      <c r="E566" s="5" t="str">
        <f t="shared" si="20"/>
        <v>台斤</v>
      </c>
      <c r="F566" s="6">
        <f t="shared" si="21"/>
        <v>300</v>
      </c>
      <c r="G566" s="7">
        <f>IFERROR(總表[[#This Row],[數量]]*總表[[#This Row],[單價]],"")</f>
        <v>94.2</v>
      </c>
      <c r="H566" s="8" t="str">
        <f t="shared" si="22"/>
        <v/>
      </c>
    </row>
    <row r="567" spans="1:9" x14ac:dyDescent="0.3">
      <c r="A567" s="4">
        <f t="shared" si="19"/>
        <v>46010</v>
      </c>
      <c r="B567" t="s">
        <v>38</v>
      </c>
      <c r="D567" s="1">
        <v>5</v>
      </c>
      <c r="E567" s="5" t="str">
        <f t="shared" si="20"/>
        <v>盒</v>
      </c>
      <c r="F567" s="6">
        <v>95</v>
      </c>
      <c r="G567" s="7">
        <f>IFERROR(總表[[#This Row],[數量]]*總表[[#This Row],[單價]],"")</f>
        <v>475</v>
      </c>
      <c r="H567" s="8" t="str">
        <f t="shared" si="22"/>
        <v/>
      </c>
    </row>
    <row r="568" spans="1:9" x14ac:dyDescent="0.3">
      <c r="A568" s="4">
        <f t="shared" si="19"/>
        <v>46010</v>
      </c>
      <c r="B568" t="s">
        <v>48</v>
      </c>
      <c r="D568" s="1">
        <f t="shared" si="23"/>
        <v>0.5</v>
      </c>
      <c r="E568" s="5" t="str">
        <f t="shared" si="20"/>
        <v>台斤</v>
      </c>
      <c r="F568" s="6">
        <v>150</v>
      </c>
      <c r="G568" s="7">
        <f>IFERROR(總表[[#This Row],[數量]]*總表[[#This Row],[單價]],"")</f>
        <v>75</v>
      </c>
      <c r="H568" s="8" t="str">
        <f t="shared" si="22"/>
        <v/>
      </c>
    </row>
    <row r="569" spans="1:9" x14ac:dyDescent="0.3">
      <c r="A569" s="4">
        <f t="shared" si="19"/>
        <v>46010</v>
      </c>
      <c r="B569" t="s">
        <v>36</v>
      </c>
      <c r="D569" s="1">
        <f t="shared" si="23"/>
        <v>1</v>
      </c>
      <c r="E569" s="5" t="str">
        <f t="shared" si="20"/>
        <v>台斤</v>
      </c>
      <c r="F569" s="6">
        <v>95</v>
      </c>
      <c r="G569" s="7">
        <f>IFERROR(總表[[#This Row],[數量]]*總表[[#This Row],[單價]],"")</f>
        <v>95</v>
      </c>
      <c r="H569" s="8" t="str">
        <f t="shared" si="22"/>
        <v/>
      </c>
    </row>
    <row r="570" spans="1:9" x14ac:dyDescent="0.3">
      <c r="A570" s="4">
        <f t="shared" si="19"/>
        <v>46010</v>
      </c>
      <c r="B570" t="s">
        <v>22</v>
      </c>
      <c r="D570" s="1">
        <v>3.46</v>
      </c>
      <c r="E570" s="5" t="str">
        <f t="shared" si="20"/>
        <v>台斤</v>
      </c>
      <c r="F570" s="6">
        <v>38</v>
      </c>
      <c r="G570" s="7">
        <v>131</v>
      </c>
      <c r="H570" s="8" t="str">
        <f t="shared" si="22"/>
        <v/>
      </c>
    </row>
    <row r="571" spans="1:9" x14ac:dyDescent="0.3">
      <c r="A571" s="4">
        <f t="shared" si="19"/>
        <v>46010</v>
      </c>
      <c r="B571" t="s">
        <v>24</v>
      </c>
      <c r="D571" s="1">
        <v>1</v>
      </c>
      <c r="E571" s="5" t="str">
        <f t="shared" si="20"/>
        <v>台斤</v>
      </c>
      <c r="F571" s="6">
        <v>155</v>
      </c>
      <c r="G571" s="7">
        <f>IFERROR(總表[[#This Row],[數量]]*總表[[#This Row],[單價]],"")</f>
        <v>155</v>
      </c>
      <c r="H571" s="8" t="str">
        <f t="shared" si="22"/>
        <v/>
      </c>
    </row>
    <row r="572" spans="1:9" x14ac:dyDescent="0.3">
      <c r="A572" s="4">
        <f t="shared" si="19"/>
        <v>46010</v>
      </c>
      <c r="B572" t="s">
        <v>28</v>
      </c>
      <c r="D572" s="1">
        <f t="shared" si="23"/>
        <v>1</v>
      </c>
      <c r="E572" s="5" t="str">
        <f t="shared" si="20"/>
        <v>台斤</v>
      </c>
      <c r="F572" s="6">
        <f t="shared" si="21"/>
        <v>120</v>
      </c>
      <c r="G572" s="7">
        <f>IFERROR(總表[[#This Row],[數量]]*總表[[#This Row],[單價]],"")</f>
        <v>120</v>
      </c>
      <c r="H572" s="8" t="str">
        <f t="shared" si="22"/>
        <v/>
      </c>
    </row>
    <row r="573" spans="1:9" x14ac:dyDescent="0.3">
      <c r="A573" s="4">
        <v>46011</v>
      </c>
      <c r="B573" t="s">
        <v>44</v>
      </c>
      <c r="D573" s="1">
        <f t="shared" si="23"/>
        <v>0.186</v>
      </c>
      <c r="E573" s="5" t="str">
        <f t="shared" si="20"/>
        <v>台斤</v>
      </c>
      <c r="F573" s="6">
        <f t="shared" si="21"/>
        <v>300</v>
      </c>
      <c r="G573" s="7">
        <f>IFERROR(總表[[#This Row],[數量]]*總表[[#This Row],[單價]],"")</f>
        <v>55.8</v>
      </c>
      <c r="H573" s="8">
        <f t="shared" si="22"/>
        <v>2008.6</v>
      </c>
      <c r="I573">
        <v>2009</v>
      </c>
    </row>
    <row r="574" spans="1:9" x14ac:dyDescent="0.3">
      <c r="A574" s="4">
        <f t="shared" si="19"/>
        <v>46011</v>
      </c>
      <c r="B574" t="s">
        <v>15</v>
      </c>
      <c r="D574" s="1">
        <f t="shared" si="23"/>
        <v>0.19</v>
      </c>
      <c r="E574" s="5" t="str">
        <f t="shared" si="20"/>
        <v>台斤</v>
      </c>
      <c r="F574" s="6">
        <f t="shared" si="21"/>
        <v>100</v>
      </c>
      <c r="G574" s="7">
        <f>IFERROR(總表[[#This Row],[數量]]*總表[[#This Row],[單價]],"")</f>
        <v>19</v>
      </c>
      <c r="H574" s="8" t="str">
        <f t="shared" si="22"/>
        <v/>
      </c>
    </row>
    <row r="575" spans="1:9" x14ac:dyDescent="0.3">
      <c r="A575" s="4">
        <f t="shared" si="19"/>
        <v>46011</v>
      </c>
      <c r="B575" t="s">
        <v>42</v>
      </c>
      <c r="D575" s="1">
        <v>0.5</v>
      </c>
      <c r="E575" s="5" t="str">
        <f t="shared" si="20"/>
        <v>盒</v>
      </c>
      <c r="F575" s="6">
        <v>160</v>
      </c>
      <c r="G575" s="7">
        <f>IFERROR(總表[[#This Row],[數量]]*總表[[#This Row],[單價]],"")</f>
        <v>80</v>
      </c>
      <c r="H575" s="8" t="str">
        <f t="shared" si="22"/>
        <v/>
      </c>
    </row>
    <row r="576" spans="1:9" x14ac:dyDescent="0.3">
      <c r="A576" s="4">
        <f t="shared" si="19"/>
        <v>46011</v>
      </c>
      <c r="B576" t="s">
        <v>30</v>
      </c>
      <c r="D576" s="1">
        <v>3</v>
      </c>
      <c r="E576" s="5" t="str">
        <f t="shared" si="20"/>
        <v>盒</v>
      </c>
      <c r="F576" s="6">
        <f t="shared" si="21"/>
        <v>280</v>
      </c>
      <c r="G576" s="7">
        <f>IFERROR(總表[[#This Row],[數量]]*總表[[#This Row],[單價]],"")</f>
        <v>840</v>
      </c>
      <c r="H576" s="8" t="str">
        <f t="shared" si="22"/>
        <v/>
      </c>
    </row>
    <row r="577" spans="1:8" x14ac:dyDescent="0.3">
      <c r="A577" s="4">
        <f t="shared" si="19"/>
        <v>46011</v>
      </c>
      <c r="B577" t="s">
        <v>18</v>
      </c>
      <c r="D577" s="1">
        <v>1.06</v>
      </c>
      <c r="E577" s="5" t="str">
        <f t="shared" si="20"/>
        <v>台斤</v>
      </c>
      <c r="F577" s="6">
        <v>130</v>
      </c>
      <c r="G577" s="7">
        <f>IFERROR(總表[[#This Row],[數量]]*總表[[#This Row],[單價]],"")</f>
        <v>137.80000000000001</v>
      </c>
      <c r="H577" s="8" t="str">
        <f t="shared" si="22"/>
        <v/>
      </c>
    </row>
    <row r="578" spans="1:8" x14ac:dyDescent="0.3">
      <c r="A578" s="4">
        <f t="shared" ref="A578:A641" si="24">IF(B578="","",A577)</f>
        <v>46011</v>
      </c>
      <c r="B578" t="s">
        <v>20</v>
      </c>
      <c r="D578" s="1">
        <v>1.1200000000000001</v>
      </c>
      <c r="E578" s="5" t="str">
        <f t="shared" ref="E578:E641" si="25">_xlfn.IFNA(VLOOKUP(B578,$B:$G,4,0),"")</f>
        <v>台斤</v>
      </c>
      <c r="F578" s="6">
        <v>130</v>
      </c>
      <c r="G578" s="7">
        <v>146</v>
      </c>
      <c r="H578" s="8" t="str">
        <f t="shared" ref="H578:H641" si="26">IF(A578&lt;&gt;A577,SUMIF(A:A, A578, G:G),"")</f>
        <v/>
      </c>
    </row>
    <row r="579" spans="1:8" x14ac:dyDescent="0.3">
      <c r="A579" s="4">
        <f t="shared" si="24"/>
        <v>46011</v>
      </c>
      <c r="B579" t="s">
        <v>32</v>
      </c>
      <c r="D579" s="1">
        <v>0.56200000000000006</v>
      </c>
      <c r="E579" s="5" t="str">
        <f t="shared" si="25"/>
        <v>台斤</v>
      </c>
      <c r="F579" s="6">
        <f t="shared" ref="F578:F641" si="27">_xlfn.IFNA(VLOOKUP(B579,$B:$G,5,0),"")</f>
        <v>240</v>
      </c>
      <c r="G579" s="7">
        <v>135</v>
      </c>
      <c r="H579" s="8" t="str">
        <f t="shared" si="26"/>
        <v/>
      </c>
    </row>
    <row r="580" spans="1:8" x14ac:dyDescent="0.3">
      <c r="A580" s="4">
        <f t="shared" si="24"/>
        <v>46011</v>
      </c>
      <c r="B580" t="s">
        <v>24</v>
      </c>
      <c r="D580" s="1">
        <f t="shared" si="23"/>
        <v>2</v>
      </c>
      <c r="E580" s="5" t="str">
        <f t="shared" si="25"/>
        <v>台斤</v>
      </c>
      <c r="F580" s="6">
        <f t="shared" si="27"/>
        <v>155</v>
      </c>
      <c r="G580" s="7">
        <f>IFERROR(總表[[#This Row],[數量]]*總表[[#This Row],[單價]],"")</f>
        <v>310</v>
      </c>
      <c r="H580" s="8" t="str">
        <f t="shared" si="26"/>
        <v/>
      </c>
    </row>
    <row r="581" spans="1:8" x14ac:dyDescent="0.3">
      <c r="A581" s="4">
        <f t="shared" si="24"/>
        <v>46011</v>
      </c>
      <c r="B581" t="s">
        <v>38</v>
      </c>
      <c r="D581" s="1">
        <f t="shared" si="23"/>
        <v>3</v>
      </c>
      <c r="E581" s="5" t="str">
        <f t="shared" si="25"/>
        <v>盒</v>
      </c>
      <c r="F581" s="6">
        <v>95</v>
      </c>
      <c r="G581" s="7">
        <f>IFERROR(總表[[#This Row],[數量]]*總表[[#This Row],[單價]],"")</f>
        <v>285</v>
      </c>
      <c r="H581" s="8" t="str">
        <f t="shared" si="26"/>
        <v/>
      </c>
    </row>
    <row r="582" spans="1:8" x14ac:dyDescent="0.3">
      <c r="A582" s="4" t="str">
        <f t="shared" si="24"/>
        <v/>
      </c>
      <c r="D582" s="1" t="str">
        <f t="shared" si="23"/>
        <v/>
      </c>
      <c r="E582" s="5" t="str">
        <f t="shared" si="25"/>
        <v/>
      </c>
      <c r="F582" s="6" t="str">
        <f t="shared" si="27"/>
        <v/>
      </c>
      <c r="G582" s="7" t="str">
        <f>IFERROR(總表[[#This Row],[數量]]*總表[[#This Row],[單價]],"")</f>
        <v/>
      </c>
      <c r="H582" s="8">
        <f t="shared" si="26"/>
        <v>0</v>
      </c>
    </row>
    <row r="583" spans="1:8" x14ac:dyDescent="0.3">
      <c r="A583" s="4" t="str">
        <f t="shared" si="24"/>
        <v/>
      </c>
      <c r="D583" s="1" t="str">
        <f t="shared" si="23"/>
        <v/>
      </c>
      <c r="E583" s="5" t="str">
        <f t="shared" si="25"/>
        <v/>
      </c>
      <c r="F583" s="6" t="str">
        <f t="shared" si="27"/>
        <v/>
      </c>
      <c r="G583" s="7" t="str">
        <f>IFERROR(總表[[#This Row],[數量]]*總表[[#This Row],[單價]],"")</f>
        <v/>
      </c>
      <c r="H583" s="8" t="str">
        <f t="shared" si="26"/>
        <v/>
      </c>
    </row>
    <row r="584" spans="1:8" x14ac:dyDescent="0.3">
      <c r="A584" s="4" t="str">
        <f t="shared" si="24"/>
        <v/>
      </c>
      <c r="D584" s="1" t="str">
        <f t="shared" si="23"/>
        <v/>
      </c>
      <c r="E584" s="5" t="str">
        <f t="shared" si="25"/>
        <v/>
      </c>
      <c r="F584" s="6" t="str">
        <f t="shared" si="27"/>
        <v/>
      </c>
      <c r="G584" s="7" t="str">
        <f>IFERROR(總表[[#This Row],[數量]]*總表[[#This Row],[單價]],"")</f>
        <v/>
      </c>
      <c r="H584" s="8" t="str">
        <f t="shared" si="26"/>
        <v/>
      </c>
    </row>
    <row r="585" spans="1:8" x14ac:dyDescent="0.3">
      <c r="A585" s="4" t="str">
        <f t="shared" si="24"/>
        <v/>
      </c>
      <c r="D585" s="1" t="str">
        <f t="shared" si="23"/>
        <v/>
      </c>
      <c r="E585" s="5" t="str">
        <f t="shared" si="25"/>
        <v/>
      </c>
      <c r="F585" s="6" t="str">
        <f t="shared" si="27"/>
        <v/>
      </c>
      <c r="G585" s="7" t="str">
        <f>IFERROR(總表[[#This Row],[數量]]*總表[[#This Row],[單價]],"")</f>
        <v/>
      </c>
      <c r="H585" s="8" t="str">
        <f t="shared" si="26"/>
        <v/>
      </c>
    </row>
    <row r="586" spans="1:8" x14ac:dyDescent="0.3">
      <c r="A586" s="4" t="str">
        <f t="shared" si="24"/>
        <v/>
      </c>
      <c r="D586" s="1" t="str">
        <f t="shared" si="23"/>
        <v/>
      </c>
      <c r="E586" s="5" t="str">
        <f t="shared" si="25"/>
        <v/>
      </c>
      <c r="F586" s="6" t="str">
        <f t="shared" si="27"/>
        <v/>
      </c>
      <c r="G586" s="7" t="str">
        <f>IFERROR(總表[[#This Row],[數量]]*總表[[#This Row],[單價]],"")</f>
        <v/>
      </c>
      <c r="H586" s="8" t="str">
        <f t="shared" si="26"/>
        <v/>
      </c>
    </row>
    <row r="587" spans="1:8" x14ac:dyDescent="0.3">
      <c r="A587" s="4" t="str">
        <f t="shared" si="24"/>
        <v/>
      </c>
      <c r="D587" s="1" t="str">
        <f t="shared" ref="D587:D650" si="28">_xlfn.IFNA(VLOOKUP(B587,$B:$G,3,0),"")</f>
        <v/>
      </c>
      <c r="E587" s="5" t="str">
        <f t="shared" si="25"/>
        <v/>
      </c>
      <c r="F587" s="6" t="str">
        <f t="shared" si="27"/>
        <v/>
      </c>
      <c r="G587" s="7" t="str">
        <f>IFERROR(總表[[#This Row],[數量]]*總表[[#This Row],[單價]],"")</f>
        <v/>
      </c>
      <c r="H587" s="8" t="str">
        <f t="shared" si="26"/>
        <v/>
      </c>
    </row>
    <row r="588" spans="1:8" x14ac:dyDescent="0.3">
      <c r="A588" s="4" t="str">
        <f t="shared" si="24"/>
        <v/>
      </c>
      <c r="D588" s="1" t="str">
        <f t="shared" si="28"/>
        <v/>
      </c>
      <c r="E588" s="5" t="str">
        <f t="shared" si="25"/>
        <v/>
      </c>
      <c r="F588" s="6" t="str">
        <f t="shared" si="27"/>
        <v/>
      </c>
      <c r="G588" s="7" t="str">
        <f>IFERROR(總表[[#This Row],[數量]]*總表[[#This Row],[單價]],"")</f>
        <v/>
      </c>
      <c r="H588" s="8" t="str">
        <f t="shared" si="26"/>
        <v/>
      </c>
    </row>
    <row r="589" spans="1:8" x14ac:dyDescent="0.3">
      <c r="A589" s="4" t="str">
        <f t="shared" si="24"/>
        <v/>
      </c>
      <c r="D589" s="1" t="str">
        <f t="shared" si="28"/>
        <v/>
      </c>
      <c r="E589" s="5" t="str">
        <f t="shared" si="25"/>
        <v/>
      </c>
      <c r="F589" s="6" t="str">
        <f t="shared" si="27"/>
        <v/>
      </c>
      <c r="G589" s="7" t="str">
        <f>IFERROR(總表[[#This Row],[數量]]*總表[[#This Row],[單價]],"")</f>
        <v/>
      </c>
      <c r="H589" s="8" t="str">
        <f t="shared" si="26"/>
        <v/>
      </c>
    </row>
    <row r="590" spans="1:8" x14ac:dyDescent="0.3">
      <c r="A590" s="4" t="str">
        <f t="shared" si="24"/>
        <v/>
      </c>
      <c r="D590" s="1" t="str">
        <f t="shared" si="28"/>
        <v/>
      </c>
      <c r="E590" s="5" t="str">
        <f t="shared" si="25"/>
        <v/>
      </c>
      <c r="F590" s="6" t="str">
        <f t="shared" si="27"/>
        <v/>
      </c>
      <c r="G590" s="7" t="str">
        <f>IFERROR(總表[[#This Row],[數量]]*總表[[#This Row],[單價]],"")</f>
        <v/>
      </c>
      <c r="H590" s="8" t="str">
        <f t="shared" si="26"/>
        <v/>
      </c>
    </row>
    <row r="591" spans="1:8" x14ac:dyDescent="0.3">
      <c r="A591" s="4" t="str">
        <f t="shared" si="24"/>
        <v/>
      </c>
      <c r="D591" s="1" t="str">
        <f t="shared" si="28"/>
        <v/>
      </c>
      <c r="E591" s="5" t="str">
        <f t="shared" si="25"/>
        <v/>
      </c>
      <c r="F591" s="6" t="str">
        <f t="shared" si="27"/>
        <v/>
      </c>
      <c r="G591" s="7" t="str">
        <f>IFERROR(總表[[#This Row],[數量]]*總表[[#This Row],[單價]],"")</f>
        <v/>
      </c>
      <c r="H591" s="8" t="str">
        <f t="shared" si="26"/>
        <v/>
      </c>
    </row>
    <row r="592" spans="1:8" x14ac:dyDescent="0.3">
      <c r="A592" s="4" t="str">
        <f t="shared" si="24"/>
        <v/>
      </c>
      <c r="D592" s="1" t="str">
        <f t="shared" si="28"/>
        <v/>
      </c>
      <c r="E592" s="5" t="str">
        <f t="shared" si="25"/>
        <v/>
      </c>
      <c r="F592" s="6" t="str">
        <f t="shared" si="27"/>
        <v/>
      </c>
      <c r="G592" s="7" t="str">
        <f>IFERROR(總表[[#This Row],[數量]]*總表[[#This Row],[單價]],"")</f>
        <v/>
      </c>
      <c r="H592" s="8" t="str">
        <f t="shared" si="26"/>
        <v/>
      </c>
    </row>
    <row r="593" spans="1:8" x14ac:dyDescent="0.3">
      <c r="A593" s="4" t="str">
        <f t="shared" si="24"/>
        <v/>
      </c>
      <c r="D593" s="1" t="str">
        <f t="shared" si="28"/>
        <v/>
      </c>
      <c r="E593" s="5" t="str">
        <f t="shared" si="25"/>
        <v/>
      </c>
      <c r="F593" s="6" t="str">
        <f t="shared" si="27"/>
        <v/>
      </c>
      <c r="G593" s="7" t="str">
        <f>IFERROR(總表[[#This Row],[數量]]*總表[[#This Row],[單價]],"")</f>
        <v/>
      </c>
      <c r="H593" s="8" t="str">
        <f t="shared" si="26"/>
        <v/>
      </c>
    </row>
    <row r="594" spans="1:8" x14ac:dyDescent="0.3">
      <c r="A594" s="4" t="str">
        <f t="shared" si="24"/>
        <v/>
      </c>
      <c r="D594" s="1" t="str">
        <f t="shared" si="28"/>
        <v/>
      </c>
      <c r="E594" s="5" t="str">
        <f t="shared" si="25"/>
        <v/>
      </c>
      <c r="F594" s="6" t="str">
        <f t="shared" si="27"/>
        <v/>
      </c>
      <c r="G594" s="7" t="str">
        <f>IFERROR(總表[[#This Row],[數量]]*總表[[#This Row],[單價]],"")</f>
        <v/>
      </c>
      <c r="H594" s="8" t="str">
        <f t="shared" si="26"/>
        <v/>
      </c>
    </row>
    <row r="595" spans="1:8" x14ac:dyDescent="0.3">
      <c r="A595" s="4" t="str">
        <f t="shared" si="24"/>
        <v/>
      </c>
      <c r="D595" s="1" t="str">
        <f t="shared" si="28"/>
        <v/>
      </c>
      <c r="E595" s="5" t="str">
        <f t="shared" si="25"/>
        <v/>
      </c>
      <c r="F595" s="6" t="str">
        <f t="shared" si="27"/>
        <v/>
      </c>
      <c r="G595" s="7" t="str">
        <f>IFERROR(總表[[#This Row],[數量]]*總表[[#This Row],[單價]],"")</f>
        <v/>
      </c>
      <c r="H595" s="8" t="str">
        <f t="shared" si="26"/>
        <v/>
      </c>
    </row>
    <row r="596" spans="1:8" x14ac:dyDescent="0.3">
      <c r="A596" s="4" t="str">
        <f t="shared" si="24"/>
        <v/>
      </c>
      <c r="D596" s="1" t="str">
        <f t="shared" si="28"/>
        <v/>
      </c>
      <c r="E596" s="5" t="str">
        <f t="shared" si="25"/>
        <v/>
      </c>
      <c r="F596" s="6" t="str">
        <f t="shared" si="27"/>
        <v/>
      </c>
      <c r="G596" s="7" t="str">
        <f>IFERROR(總表[[#This Row],[數量]]*總表[[#This Row],[單價]],"")</f>
        <v/>
      </c>
      <c r="H596" s="8" t="str">
        <f t="shared" si="26"/>
        <v/>
      </c>
    </row>
    <row r="597" spans="1:8" x14ac:dyDescent="0.3">
      <c r="A597" s="4" t="str">
        <f t="shared" si="24"/>
        <v/>
      </c>
      <c r="D597" s="1" t="str">
        <f t="shared" si="28"/>
        <v/>
      </c>
      <c r="E597" s="5" t="str">
        <f t="shared" si="25"/>
        <v/>
      </c>
      <c r="F597" s="6" t="str">
        <f t="shared" si="27"/>
        <v/>
      </c>
      <c r="G597" s="7" t="str">
        <f>IFERROR(總表[[#This Row],[數量]]*總表[[#This Row],[單價]],"")</f>
        <v/>
      </c>
      <c r="H597" s="8" t="str">
        <f t="shared" si="26"/>
        <v/>
      </c>
    </row>
    <row r="598" spans="1:8" x14ac:dyDescent="0.3">
      <c r="A598" s="4" t="str">
        <f t="shared" si="24"/>
        <v/>
      </c>
      <c r="D598" s="1" t="str">
        <f t="shared" si="28"/>
        <v/>
      </c>
      <c r="E598" s="5" t="str">
        <f t="shared" si="25"/>
        <v/>
      </c>
      <c r="F598" s="6" t="str">
        <f t="shared" si="27"/>
        <v/>
      </c>
      <c r="G598" s="7" t="str">
        <f>IFERROR(總表[[#This Row],[數量]]*總表[[#This Row],[單價]],"")</f>
        <v/>
      </c>
      <c r="H598" s="8" t="str">
        <f t="shared" si="26"/>
        <v/>
      </c>
    </row>
    <row r="599" spans="1:8" x14ac:dyDescent="0.3">
      <c r="A599" s="4" t="str">
        <f t="shared" si="24"/>
        <v/>
      </c>
      <c r="D599" s="1" t="str">
        <f t="shared" si="28"/>
        <v/>
      </c>
      <c r="E599" s="5" t="str">
        <f t="shared" si="25"/>
        <v/>
      </c>
      <c r="F599" s="6" t="str">
        <f t="shared" si="27"/>
        <v/>
      </c>
      <c r="G599" s="7" t="str">
        <f>IFERROR(總表[[#This Row],[數量]]*總表[[#This Row],[單價]],"")</f>
        <v/>
      </c>
      <c r="H599" s="8" t="str">
        <f t="shared" si="26"/>
        <v/>
      </c>
    </row>
    <row r="600" spans="1:8" x14ac:dyDescent="0.3">
      <c r="A600" s="4" t="str">
        <f t="shared" si="24"/>
        <v/>
      </c>
      <c r="D600" s="1" t="str">
        <f t="shared" si="28"/>
        <v/>
      </c>
      <c r="E600" s="5" t="str">
        <f t="shared" si="25"/>
        <v/>
      </c>
      <c r="F600" s="6" t="str">
        <f t="shared" si="27"/>
        <v/>
      </c>
      <c r="G600" s="7" t="str">
        <f>IFERROR(總表[[#This Row],[數量]]*總表[[#This Row],[單價]],"")</f>
        <v/>
      </c>
      <c r="H600" s="8" t="str">
        <f t="shared" si="26"/>
        <v/>
      </c>
    </row>
    <row r="601" spans="1:8" x14ac:dyDescent="0.3">
      <c r="A601" s="4" t="str">
        <f t="shared" si="24"/>
        <v/>
      </c>
      <c r="D601" s="1" t="str">
        <f t="shared" si="28"/>
        <v/>
      </c>
      <c r="E601" s="5" t="str">
        <f t="shared" si="25"/>
        <v/>
      </c>
      <c r="F601" s="6" t="str">
        <f t="shared" si="27"/>
        <v/>
      </c>
      <c r="G601" s="7" t="str">
        <f>IFERROR(總表[[#This Row],[數量]]*總表[[#This Row],[單價]],"")</f>
        <v/>
      </c>
      <c r="H601" s="8" t="str">
        <f t="shared" si="26"/>
        <v/>
      </c>
    </row>
    <row r="602" spans="1:8" x14ac:dyDescent="0.3">
      <c r="A602" s="4" t="str">
        <f t="shared" si="24"/>
        <v/>
      </c>
      <c r="D602" s="1" t="str">
        <f t="shared" si="28"/>
        <v/>
      </c>
      <c r="E602" s="5" t="str">
        <f t="shared" si="25"/>
        <v/>
      </c>
      <c r="F602" s="6" t="str">
        <f t="shared" si="27"/>
        <v/>
      </c>
      <c r="G602" s="7" t="str">
        <f>IFERROR(總表[[#This Row],[數量]]*總表[[#This Row],[單價]],"")</f>
        <v/>
      </c>
      <c r="H602" s="8" t="str">
        <f t="shared" si="26"/>
        <v/>
      </c>
    </row>
    <row r="603" spans="1:8" x14ac:dyDescent="0.3">
      <c r="A603" s="4" t="str">
        <f t="shared" si="24"/>
        <v/>
      </c>
      <c r="D603" s="1" t="str">
        <f t="shared" si="28"/>
        <v/>
      </c>
      <c r="E603" s="5" t="str">
        <f t="shared" si="25"/>
        <v/>
      </c>
      <c r="F603" s="6" t="str">
        <f t="shared" si="27"/>
        <v/>
      </c>
      <c r="G603" s="7" t="str">
        <f>IFERROR(總表[[#This Row],[數量]]*總表[[#This Row],[單價]],"")</f>
        <v/>
      </c>
      <c r="H603" s="8" t="str">
        <f t="shared" si="26"/>
        <v/>
      </c>
    </row>
    <row r="604" spans="1:8" x14ac:dyDescent="0.3">
      <c r="A604" s="4" t="str">
        <f t="shared" si="24"/>
        <v/>
      </c>
      <c r="D604" s="1" t="str">
        <f t="shared" si="28"/>
        <v/>
      </c>
      <c r="E604" s="5" t="str">
        <f t="shared" si="25"/>
        <v/>
      </c>
      <c r="F604" s="6" t="str">
        <f t="shared" si="27"/>
        <v/>
      </c>
      <c r="G604" s="7" t="str">
        <f>IFERROR(總表[[#This Row],[數量]]*總表[[#This Row],[單價]],"")</f>
        <v/>
      </c>
      <c r="H604" s="8" t="str">
        <f t="shared" si="26"/>
        <v/>
      </c>
    </row>
    <row r="605" spans="1:8" x14ac:dyDescent="0.3">
      <c r="A605" s="4" t="str">
        <f t="shared" si="24"/>
        <v/>
      </c>
      <c r="D605" s="1" t="str">
        <f t="shared" si="28"/>
        <v/>
      </c>
      <c r="E605" s="5" t="str">
        <f t="shared" si="25"/>
        <v/>
      </c>
      <c r="F605" s="6" t="str">
        <f t="shared" si="27"/>
        <v/>
      </c>
      <c r="G605" s="7" t="str">
        <f>IFERROR(總表[[#This Row],[數量]]*總表[[#This Row],[單價]],"")</f>
        <v/>
      </c>
      <c r="H605" s="8" t="str">
        <f t="shared" si="26"/>
        <v/>
      </c>
    </row>
    <row r="606" spans="1:8" x14ac:dyDescent="0.3">
      <c r="A606" s="4" t="str">
        <f t="shared" si="24"/>
        <v/>
      </c>
      <c r="D606" s="1" t="str">
        <f t="shared" si="28"/>
        <v/>
      </c>
      <c r="E606" s="5" t="str">
        <f t="shared" si="25"/>
        <v/>
      </c>
      <c r="F606" s="6" t="str">
        <f t="shared" si="27"/>
        <v/>
      </c>
      <c r="G606" s="7" t="str">
        <f>IFERROR(總表[[#This Row],[數量]]*總表[[#This Row],[單價]],"")</f>
        <v/>
      </c>
      <c r="H606" s="8" t="str">
        <f t="shared" si="26"/>
        <v/>
      </c>
    </row>
    <row r="607" spans="1:8" x14ac:dyDescent="0.3">
      <c r="A607" s="4" t="str">
        <f t="shared" si="24"/>
        <v/>
      </c>
      <c r="D607" s="1" t="str">
        <f t="shared" si="28"/>
        <v/>
      </c>
      <c r="E607" s="5" t="str">
        <f t="shared" si="25"/>
        <v/>
      </c>
      <c r="F607" s="6" t="str">
        <f t="shared" si="27"/>
        <v/>
      </c>
      <c r="G607" s="7" t="str">
        <f>IFERROR(總表[[#This Row],[數量]]*總表[[#This Row],[單價]],"")</f>
        <v/>
      </c>
      <c r="H607" s="8" t="str">
        <f t="shared" si="26"/>
        <v/>
      </c>
    </row>
    <row r="608" spans="1:8" x14ac:dyDescent="0.3">
      <c r="A608" s="4" t="str">
        <f t="shared" si="24"/>
        <v/>
      </c>
      <c r="D608" s="1" t="str">
        <f t="shared" si="28"/>
        <v/>
      </c>
      <c r="E608" s="5" t="str">
        <f t="shared" si="25"/>
        <v/>
      </c>
      <c r="F608" s="6" t="str">
        <f t="shared" si="27"/>
        <v/>
      </c>
      <c r="G608" s="7" t="str">
        <f>IFERROR(總表[[#This Row],[數量]]*總表[[#This Row],[單價]],"")</f>
        <v/>
      </c>
      <c r="H608" s="8" t="str">
        <f t="shared" si="26"/>
        <v/>
      </c>
    </row>
    <row r="609" spans="1:8" x14ac:dyDescent="0.3">
      <c r="A609" s="4" t="str">
        <f t="shared" si="24"/>
        <v/>
      </c>
      <c r="D609" s="1" t="str">
        <f t="shared" si="28"/>
        <v/>
      </c>
      <c r="E609" s="5" t="str">
        <f t="shared" si="25"/>
        <v/>
      </c>
      <c r="F609" s="6" t="str">
        <f t="shared" si="27"/>
        <v/>
      </c>
      <c r="G609" s="7" t="str">
        <f>IFERROR(總表[[#This Row],[數量]]*總表[[#This Row],[單價]],"")</f>
        <v/>
      </c>
      <c r="H609" s="8" t="str">
        <f t="shared" si="26"/>
        <v/>
      </c>
    </row>
    <row r="610" spans="1:8" x14ac:dyDescent="0.3">
      <c r="A610" s="4" t="str">
        <f t="shared" si="24"/>
        <v/>
      </c>
      <c r="D610" s="1" t="str">
        <f t="shared" si="28"/>
        <v/>
      </c>
      <c r="E610" s="5" t="str">
        <f t="shared" si="25"/>
        <v/>
      </c>
      <c r="F610" s="6" t="str">
        <f t="shared" si="27"/>
        <v/>
      </c>
      <c r="G610" s="7" t="str">
        <f>IFERROR(總表[[#This Row],[數量]]*總表[[#This Row],[單價]],"")</f>
        <v/>
      </c>
      <c r="H610" s="8" t="str">
        <f t="shared" si="26"/>
        <v/>
      </c>
    </row>
    <row r="611" spans="1:8" x14ac:dyDescent="0.3">
      <c r="A611" s="4" t="str">
        <f t="shared" si="24"/>
        <v/>
      </c>
      <c r="D611" s="1" t="str">
        <f t="shared" si="28"/>
        <v/>
      </c>
      <c r="E611" s="5" t="str">
        <f t="shared" si="25"/>
        <v/>
      </c>
      <c r="F611" s="6" t="str">
        <f t="shared" si="27"/>
        <v/>
      </c>
      <c r="G611" s="7" t="str">
        <f>IFERROR(總表[[#This Row],[數量]]*總表[[#This Row],[單價]],"")</f>
        <v/>
      </c>
      <c r="H611" s="8" t="str">
        <f t="shared" si="26"/>
        <v/>
      </c>
    </row>
    <row r="612" spans="1:8" x14ac:dyDescent="0.3">
      <c r="A612" s="4" t="str">
        <f t="shared" si="24"/>
        <v/>
      </c>
      <c r="D612" s="1" t="str">
        <f t="shared" si="28"/>
        <v/>
      </c>
      <c r="E612" s="5" t="str">
        <f t="shared" si="25"/>
        <v/>
      </c>
      <c r="F612" s="6" t="str">
        <f t="shared" si="27"/>
        <v/>
      </c>
      <c r="G612" s="7" t="str">
        <f>IFERROR(總表[[#This Row],[數量]]*總表[[#This Row],[單價]],"")</f>
        <v/>
      </c>
      <c r="H612" s="8" t="str">
        <f t="shared" si="26"/>
        <v/>
      </c>
    </row>
    <row r="613" spans="1:8" x14ac:dyDescent="0.3">
      <c r="A613" s="4" t="str">
        <f t="shared" si="24"/>
        <v/>
      </c>
      <c r="D613" s="1" t="str">
        <f t="shared" si="28"/>
        <v/>
      </c>
      <c r="E613" s="5" t="str">
        <f t="shared" si="25"/>
        <v/>
      </c>
      <c r="F613" s="6" t="str">
        <f t="shared" si="27"/>
        <v/>
      </c>
      <c r="G613" s="7" t="str">
        <f>IFERROR(總表[[#This Row],[數量]]*總表[[#This Row],[單價]],"")</f>
        <v/>
      </c>
      <c r="H613" s="8" t="str">
        <f t="shared" si="26"/>
        <v/>
      </c>
    </row>
    <row r="614" spans="1:8" x14ac:dyDescent="0.3">
      <c r="A614" s="4" t="str">
        <f t="shared" si="24"/>
        <v/>
      </c>
      <c r="D614" s="1" t="str">
        <f t="shared" si="28"/>
        <v/>
      </c>
      <c r="E614" s="5" t="str">
        <f t="shared" si="25"/>
        <v/>
      </c>
      <c r="F614" s="6" t="str">
        <f t="shared" si="27"/>
        <v/>
      </c>
      <c r="G614" s="7" t="str">
        <f>IFERROR(總表[[#This Row],[數量]]*總表[[#This Row],[單價]],"")</f>
        <v/>
      </c>
      <c r="H614" s="8" t="str">
        <f t="shared" si="26"/>
        <v/>
      </c>
    </row>
    <row r="615" spans="1:8" x14ac:dyDescent="0.3">
      <c r="A615" s="4" t="str">
        <f t="shared" si="24"/>
        <v/>
      </c>
      <c r="D615" s="1" t="str">
        <f t="shared" si="28"/>
        <v/>
      </c>
      <c r="E615" s="5" t="str">
        <f t="shared" si="25"/>
        <v/>
      </c>
      <c r="F615" s="6" t="str">
        <f t="shared" si="27"/>
        <v/>
      </c>
      <c r="G615" s="7" t="str">
        <f>IFERROR(總表[[#This Row],[數量]]*總表[[#This Row],[單價]],"")</f>
        <v/>
      </c>
      <c r="H615" s="8" t="str">
        <f t="shared" si="26"/>
        <v/>
      </c>
    </row>
    <row r="616" spans="1:8" x14ac:dyDescent="0.3">
      <c r="A616" s="4" t="str">
        <f t="shared" si="24"/>
        <v/>
      </c>
      <c r="D616" s="1" t="str">
        <f t="shared" si="28"/>
        <v/>
      </c>
      <c r="E616" s="5" t="str">
        <f t="shared" si="25"/>
        <v/>
      </c>
      <c r="F616" s="6" t="str">
        <f t="shared" si="27"/>
        <v/>
      </c>
      <c r="G616" s="7" t="str">
        <f>IFERROR(總表[[#This Row],[數量]]*總表[[#This Row],[單價]],"")</f>
        <v/>
      </c>
      <c r="H616" s="8" t="str">
        <f t="shared" si="26"/>
        <v/>
      </c>
    </row>
    <row r="617" spans="1:8" x14ac:dyDescent="0.3">
      <c r="A617" s="4" t="str">
        <f t="shared" si="24"/>
        <v/>
      </c>
      <c r="D617" s="1" t="str">
        <f t="shared" si="28"/>
        <v/>
      </c>
      <c r="E617" s="5" t="str">
        <f t="shared" si="25"/>
        <v/>
      </c>
      <c r="F617" s="6" t="str">
        <f t="shared" si="27"/>
        <v/>
      </c>
      <c r="G617" s="7" t="str">
        <f>IFERROR(總表[[#This Row],[數量]]*總表[[#This Row],[單價]],"")</f>
        <v/>
      </c>
      <c r="H617" s="8" t="str">
        <f t="shared" si="26"/>
        <v/>
      </c>
    </row>
    <row r="618" spans="1:8" x14ac:dyDescent="0.3">
      <c r="A618" s="4" t="str">
        <f t="shared" si="24"/>
        <v/>
      </c>
      <c r="D618" s="1" t="str">
        <f t="shared" si="28"/>
        <v/>
      </c>
      <c r="E618" s="5" t="str">
        <f t="shared" si="25"/>
        <v/>
      </c>
      <c r="F618" s="6" t="str">
        <f t="shared" si="27"/>
        <v/>
      </c>
      <c r="G618" s="7" t="str">
        <f>IFERROR(總表[[#This Row],[數量]]*總表[[#This Row],[單價]],"")</f>
        <v/>
      </c>
      <c r="H618" s="8" t="str">
        <f t="shared" si="26"/>
        <v/>
      </c>
    </row>
    <row r="619" spans="1:8" x14ac:dyDescent="0.3">
      <c r="A619" s="4" t="str">
        <f t="shared" si="24"/>
        <v/>
      </c>
      <c r="D619" s="1" t="str">
        <f t="shared" si="28"/>
        <v/>
      </c>
      <c r="E619" s="5" t="str">
        <f t="shared" si="25"/>
        <v/>
      </c>
      <c r="F619" s="6" t="str">
        <f t="shared" si="27"/>
        <v/>
      </c>
      <c r="G619" s="7" t="str">
        <f>IFERROR(總表[[#This Row],[數量]]*總表[[#This Row],[單價]],"")</f>
        <v/>
      </c>
      <c r="H619" s="8" t="str">
        <f t="shared" si="26"/>
        <v/>
      </c>
    </row>
    <row r="620" spans="1:8" x14ac:dyDescent="0.3">
      <c r="A620" s="4" t="str">
        <f t="shared" si="24"/>
        <v/>
      </c>
      <c r="D620" s="1" t="str">
        <f t="shared" si="28"/>
        <v/>
      </c>
      <c r="E620" s="5" t="str">
        <f t="shared" si="25"/>
        <v/>
      </c>
      <c r="F620" s="6" t="str">
        <f t="shared" si="27"/>
        <v/>
      </c>
      <c r="G620" s="7" t="str">
        <f>IFERROR(總表[[#This Row],[數量]]*總表[[#This Row],[單價]],"")</f>
        <v/>
      </c>
      <c r="H620" s="8" t="str">
        <f t="shared" si="26"/>
        <v/>
      </c>
    </row>
    <row r="621" spans="1:8" x14ac:dyDescent="0.3">
      <c r="A621" s="4" t="str">
        <f t="shared" si="24"/>
        <v/>
      </c>
      <c r="D621" s="1" t="str">
        <f t="shared" si="28"/>
        <v/>
      </c>
      <c r="E621" s="5" t="str">
        <f t="shared" si="25"/>
        <v/>
      </c>
      <c r="F621" s="6" t="str">
        <f t="shared" si="27"/>
        <v/>
      </c>
      <c r="G621" s="7" t="str">
        <f>IFERROR(總表[[#This Row],[數量]]*總表[[#This Row],[單價]],"")</f>
        <v/>
      </c>
      <c r="H621" s="8" t="str">
        <f t="shared" si="26"/>
        <v/>
      </c>
    </row>
    <row r="622" spans="1:8" x14ac:dyDescent="0.3">
      <c r="A622" s="4" t="str">
        <f t="shared" si="24"/>
        <v/>
      </c>
      <c r="D622" s="1" t="str">
        <f t="shared" si="28"/>
        <v/>
      </c>
      <c r="E622" s="5" t="str">
        <f t="shared" si="25"/>
        <v/>
      </c>
      <c r="F622" s="6" t="str">
        <f t="shared" si="27"/>
        <v/>
      </c>
      <c r="G622" s="7" t="str">
        <f>IFERROR(總表[[#This Row],[數量]]*總表[[#This Row],[單價]],"")</f>
        <v/>
      </c>
      <c r="H622" s="8" t="str">
        <f t="shared" si="26"/>
        <v/>
      </c>
    </row>
    <row r="623" spans="1:8" x14ac:dyDescent="0.3">
      <c r="A623" s="4" t="str">
        <f t="shared" si="24"/>
        <v/>
      </c>
      <c r="D623" s="1" t="str">
        <f t="shared" si="28"/>
        <v/>
      </c>
      <c r="E623" s="5" t="str">
        <f t="shared" si="25"/>
        <v/>
      </c>
      <c r="F623" s="6" t="str">
        <f t="shared" si="27"/>
        <v/>
      </c>
      <c r="G623" s="7" t="str">
        <f>IFERROR(總表[[#This Row],[數量]]*總表[[#This Row],[單價]],"")</f>
        <v/>
      </c>
      <c r="H623" s="8" t="str">
        <f t="shared" si="26"/>
        <v/>
      </c>
    </row>
    <row r="624" spans="1:8" x14ac:dyDescent="0.3">
      <c r="A624" s="4" t="str">
        <f t="shared" si="24"/>
        <v/>
      </c>
      <c r="D624" s="1" t="str">
        <f t="shared" si="28"/>
        <v/>
      </c>
      <c r="E624" s="5" t="str">
        <f t="shared" si="25"/>
        <v/>
      </c>
      <c r="F624" s="6" t="str">
        <f t="shared" si="27"/>
        <v/>
      </c>
      <c r="G624" s="7" t="str">
        <f>IFERROR(總表[[#This Row],[數量]]*總表[[#This Row],[單價]],"")</f>
        <v/>
      </c>
      <c r="H624" s="8" t="str">
        <f t="shared" si="26"/>
        <v/>
      </c>
    </row>
    <row r="625" spans="1:8" x14ac:dyDescent="0.3">
      <c r="A625" s="4" t="str">
        <f t="shared" si="24"/>
        <v/>
      </c>
      <c r="D625" s="1" t="str">
        <f t="shared" si="28"/>
        <v/>
      </c>
      <c r="E625" s="5" t="str">
        <f t="shared" si="25"/>
        <v/>
      </c>
      <c r="F625" s="6" t="str">
        <f t="shared" si="27"/>
        <v/>
      </c>
      <c r="G625" s="7" t="str">
        <f>IFERROR(總表[[#This Row],[數量]]*總表[[#This Row],[單價]],"")</f>
        <v/>
      </c>
      <c r="H625" s="8" t="str">
        <f t="shared" si="26"/>
        <v/>
      </c>
    </row>
    <row r="626" spans="1:8" x14ac:dyDescent="0.3">
      <c r="A626" s="4" t="str">
        <f t="shared" si="24"/>
        <v/>
      </c>
      <c r="D626" s="1" t="str">
        <f t="shared" si="28"/>
        <v/>
      </c>
      <c r="E626" s="5" t="str">
        <f t="shared" si="25"/>
        <v/>
      </c>
      <c r="F626" s="6" t="str">
        <f t="shared" si="27"/>
        <v/>
      </c>
      <c r="G626" s="7" t="str">
        <f>IFERROR(總表[[#This Row],[數量]]*總表[[#This Row],[單價]],"")</f>
        <v/>
      </c>
      <c r="H626" s="8" t="str">
        <f t="shared" si="26"/>
        <v/>
      </c>
    </row>
    <row r="627" spans="1:8" x14ac:dyDescent="0.3">
      <c r="A627" s="4" t="str">
        <f t="shared" si="24"/>
        <v/>
      </c>
      <c r="D627" s="1" t="str">
        <f t="shared" si="28"/>
        <v/>
      </c>
      <c r="E627" s="5" t="str">
        <f t="shared" si="25"/>
        <v/>
      </c>
      <c r="F627" s="6" t="str">
        <f t="shared" si="27"/>
        <v/>
      </c>
      <c r="G627" s="7" t="str">
        <f>IFERROR(總表[[#This Row],[數量]]*總表[[#This Row],[單價]],"")</f>
        <v/>
      </c>
      <c r="H627" s="8" t="str">
        <f t="shared" si="26"/>
        <v/>
      </c>
    </row>
    <row r="628" spans="1:8" x14ac:dyDescent="0.3">
      <c r="A628" s="4" t="str">
        <f t="shared" si="24"/>
        <v/>
      </c>
      <c r="D628" s="1" t="str">
        <f t="shared" si="28"/>
        <v/>
      </c>
      <c r="E628" s="5" t="str">
        <f t="shared" si="25"/>
        <v/>
      </c>
      <c r="F628" s="6" t="str">
        <f t="shared" si="27"/>
        <v/>
      </c>
      <c r="G628" s="7" t="str">
        <f>IFERROR(總表[[#This Row],[數量]]*總表[[#This Row],[單價]],"")</f>
        <v/>
      </c>
      <c r="H628" s="8" t="str">
        <f t="shared" si="26"/>
        <v/>
      </c>
    </row>
    <row r="629" spans="1:8" x14ac:dyDescent="0.3">
      <c r="A629" s="4" t="str">
        <f t="shared" si="24"/>
        <v/>
      </c>
      <c r="D629" s="1" t="str">
        <f t="shared" si="28"/>
        <v/>
      </c>
      <c r="E629" s="5" t="str">
        <f t="shared" si="25"/>
        <v/>
      </c>
      <c r="F629" s="6" t="str">
        <f t="shared" si="27"/>
        <v/>
      </c>
      <c r="G629" s="7" t="str">
        <f>IFERROR(總表[[#This Row],[數量]]*總表[[#This Row],[單價]],"")</f>
        <v/>
      </c>
      <c r="H629" s="8" t="str">
        <f t="shared" si="26"/>
        <v/>
      </c>
    </row>
    <row r="630" spans="1:8" x14ac:dyDescent="0.3">
      <c r="A630" s="4" t="str">
        <f t="shared" si="24"/>
        <v/>
      </c>
      <c r="D630" s="1" t="str">
        <f t="shared" si="28"/>
        <v/>
      </c>
      <c r="E630" s="5" t="str">
        <f t="shared" si="25"/>
        <v/>
      </c>
      <c r="F630" s="6" t="str">
        <f t="shared" si="27"/>
        <v/>
      </c>
      <c r="G630" s="7" t="str">
        <f>IFERROR(總表[[#This Row],[數量]]*總表[[#This Row],[單價]],"")</f>
        <v/>
      </c>
      <c r="H630" s="8" t="str">
        <f t="shared" si="26"/>
        <v/>
      </c>
    </row>
    <row r="631" spans="1:8" x14ac:dyDescent="0.3">
      <c r="A631" s="4" t="str">
        <f t="shared" si="24"/>
        <v/>
      </c>
      <c r="D631" s="1" t="str">
        <f t="shared" si="28"/>
        <v/>
      </c>
      <c r="E631" s="5" t="str">
        <f t="shared" si="25"/>
        <v/>
      </c>
      <c r="F631" s="6" t="str">
        <f t="shared" si="27"/>
        <v/>
      </c>
      <c r="G631" s="7" t="str">
        <f>IFERROR(總表[[#This Row],[數量]]*總表[[#This Row],[單價]],"")</f>
        <v/>
      </c>
      <c r="H631" s="8" t="str">
        <f t="shared" si="26"/>
        <v/>
      </c>
    </row>
    <row r="632" spans="1:8" x14ac:dyDescent="0.3">
      <c r="A632" s="4" t="str">
        <f t="shared" si="24"/>
        <v/>
      </c>
      <c r="D632" s="1" t="str">
        <f t="shared" si="28"/>
        <v/>
      </c>
      <c r="E632" s="5" t="str">
        <f t="shared" si="25"/>
        <v/>
      </c>
      <c r="F632" s="6" t="str">
        <f t="shared" si="27"/>
        <v/>
      </c>
      <c r="G632" s="7" t="str">
        <f>IFERROR(總表[[#This Row],[數量]]*總表[[#This Row],[單價]],"")</f>
        <v/>
      </c>
      <c r="H632" s="8" t="str">
        <f t="shared" si="26"/>
        <v/>
      </c>
    </row>
    <row r="633" spans="1:8" x14ac:dyDescent="0.3">
      <c r="A633" s="4" t="str">
        <f t="shared" si="24"/>
        <v/>
      </c>
      <c r="D633" s="1" t="str">
        <f t="shared" si="28"/>
        <v/>
      </c>
      <c r="E633" s="5" t="str">
        <f t="shared" si="25"/>
        <v/>
      </c>
      <c r="F633" s="6" t="str">
        <f t="shared" si="27"/>
        <v/>
      </c>
      <c r="G633" s="7" t="str">
        <f>IFERROR(總表[[#This Row],[數量]]*總表[[#This Row],[單價]],"")</f>
        <v/>
      </c>
      <c r="H633" s="8" t="str">
        <f t="shared" si="26"/>
        <v/>
      </c>
    </row>
    <row r="634" spans="1:8" x14ac:dyDescent="0.3">
      <c r="A634" s="4" t="str">
        <f t="shared" si="24"/>
        <v/>
      </c>
      <c r="D634" s="1" t="str">
        <f t="shared" si="28"/>
        <v/>
      </c>
      <c r="E634" s="5" t="str">
        <f t="shared" si="25"/>
        <v/>
      </c>
      <c r="F634" s="6" t="str">
        <f t="shared" si="27"/>
        <v/>
      </c>
      <c r="G634" s="7" t="str">
        <f>IFERROR(總表[[#This Row],[數量]]*總表[[#This Row],[單價]],"")</f>
        <v/>
      </c>
      <c r="H634" s="8" t="str">
        <f t="shared" si="26"/>
        <v/>
      </c>
    </row>
    <row r="635" spans="1:8" x14ac:dyDescent="0.3">
      <c r="A635" s="4" t="str">
        <f t="shared" si="24"/>
        <v/>
      </c>
      <c r="D635" s="1" t="str">
        <f t="shared" si="28"/>
        <v/>
      </c>
      <c r="E635" s="5" t="str">
        <f t="shared" si="25"/>
        <v/>
      </c>
      <c r="F635" s="6" t="str">
        <f t="shared" si="27"/>
        <v/>
      </c>
      <c r="G635" s="7" t="str">
        <f>IFERROR(總表[[#This Row],[數量]]*總表[[#This Row],[單價]],"")</f>
        <v/>
      </c>
      <c r="H635" s="8" t="str">
        <f t="shared" si="26"/>
        <v/>
      </c>
    </row>
    <row r="636" spans="1:8" x14ac:dyDescent="0.3">
      <c r="A636" s="4" t="str">
        <f t="shared" si="24"/>
        <v/>
      </c>
      <c r="D636" s="1" t="str">
        <f t="shared" si="28"/>
        <v/>
      </c>
      <c r="E636" s="5" t="str">
        <f t="shared" si="25"/>
        <v/>
      </c>
      <c r="F636" s="6" t="str">
        <f t="shared" si="27"/>
        <v/>
      </c>
      <c r="G636" s="7" t="str">
        <f>IFERROR(總表[[#This Row],[數量]]*總表[[#This Row],[單價]],"")</f>
        <v/>
      </c>
      <c r="H636" s="8" t="str">
        <f t="shared" si="26"/>
        <v/>
      </c>
    </row>
    <row r="637" spans="1:8" x14ac:dyDescent="0.3">
      <c r="A637" s="4" t="str">
        <f t="shared" si="24"/>
        <v/>
      </c>
      <c r="D637" s="1" t="str">
        <f t="shared" si="28"/>
        <v/>
      </c>
      <c r="E637" s="5" t="str">
        <f t="shared" si="25"/>
        <v/>
      </c>
      <c r="F637" s="6" t="str">
        <f t="shared" si="27"/>
        <v/>
      </c>
      <c r="G637" s="7" t="str">
        <f>IFERROR(總表[[#This Row],[數量]]*總表[[#This Row],[單價]],"")</f>
        <v/>
      </c>
      <c r="H637" s="8" t="str">
        <f t="shared" si="26"/>
        <v/>
      </c>
    </row>
    <row r="638" spans="1:8" x14ac:dyDescent="0.3">
      <c r="A638" s="4" t="str">
        <f t="shared" si="24"/>
        <v/>
      </c>
      <c r="D638" s="1" t="str">
        <f t="shared" si="28"/>
        <v/>
      </c>
      <c r="E638" s="5" t="str">
        <f t="shared" si="25"/>
        <v/>
      </c>
      <c r="F638" s="6" t="str">
        <f t="shared" si="27"/>
        <v/>
      </c>
      <c r="G638" s="7" t="str">
        <f>IFERROR(總表[[#This Row],[數量]]*總表[[#This Row],[單價]],"")</f>
        <v/>
      </c>
      <c r="H638" s="8" t="str">
        <f t="shared" si="26"/>
        <v/>
      </c>
    </row>
    <row r="639" spans="1:8" x14ac:dyDescent="0.3">
      <c r="A639" s="4" t="str">
        <f t="shared" si="24"/>
        <v/>
      </c>
      <c r="D639" s="1" t="str">
        <f t="shared" si="28"/>
        <v/>
      </c>
      <c r="E639" s="5" t="str">
        <f t="shared" si="25"/>
        <v/>
      </c>
      <c r="F639" s="6" t="str">
        <f t="shared" si="27"/>
        <v/>
      </c>
      <c r="G639" s="7" t="str">
        <f>IFERROR(總表[[#This Row],[數量]]*總表[[#This Row],[單價]],"")</f>
        <v/>
      </c>
      <c r="H639" s="8" t="str">
        <f t="shared" si="26"/>
        <v/>
      </c>
    </row>
    <row r="640" spans="1:8" x14ac:dyDescent="0.3">
      <c r="A640" s="4" t="str">
        <f t="shared" si="24"/>
        <v/>
      </c>
      <c r="D640" s="1" t="str">
        <f t="shared" si="28"/>
        <v/>
      </c>
      <c r="E640" s="5" t="str">
        <f t="shared" si="25"/>
        <v/>
      </c>
      <c r="F640" s="6" t="str">
        <f t="shared" si="27"/>
        <v/>
      </c>
      <c r="G640" s="7" t="str">
        <f>IFERROR(總表[[#This Row],[數量]]*總表[[#This Row],[單價]],"")</f>
        <v/>
      </c>
      <c r="H640" s="8" t="str">
        <f t="shared" si="26"/>
        <v/>
      </c>
    </row>
    <row r="641" spans="1:8" x14ac:dyDescent="0.3">
      <c r="A641" s="4" t="str">
        <f t="shared" si="24"/>
        <v/>
      </c>
      <c r="D641" s="1" t="str">
        <f t="shared" si="28"/>
        <v/>
      </c>
      <c r="E641" s="5" t="str">
        <f t="shared" si="25"/>
        <v/>
      </c>
      <c r="F641" s="6" t="str">
        <f t="shared" si="27"/>
        <v/>
      </c>
      <c r="G641" s="7" t="str">
        <f>IFERROR(總表[[#This Row],[數量]]*總表[[#This Row],[單價]],"")</f>
        <v/>
      </c>
      <c r="H641" s="8" t="str">
        <f t="shared" si="26"/>
        <v/>
      </c>
    </row>
    <row r="642" spans="1:8" x14ac:dyDescent="0.3">
      <c r="A642" s="4" t="str">
        <f t="shared" ref="A642:A705" si="29">IF(B642="","",A641)</f>
        <v/>
      </c>
      <c r="D642" s="1" t="str">
        <f t="shared" si="28"/>
        <v/>
      </c>
      <c r="E642" s="5" t="str">
        <f t="shared" ref="E642:E705" si="30">_xlfn.IFNA(VLOOKUP(B642,$B:$G,4,0),"")</f>
        <v/>
      </c>
      <c r="F642" s="6" t="str">
        <f t="shared" ref="F642:F705" si="31">_xlfn.IFNA(VLOOKUP(B642,$B:$G,5,0),"")</f>
        <v/>
      </c>
      <c r="G642" s="7" t="str">
        <f>IFERROR(總表[[#This Row],[數量]]*總表[[#This Row],[單價]],"")</f>
        <v/>
      </c>
      <c r="H642" s="8" t="str">
        <f t="shared" ref="H642:H705" si="32">IF(A642&lt;&gt;A641,SUMIF(A:A, A642, G:G),"")</f>
        <v/>
      </c>
    </row>
    <row r="643" spans="1:8" x14ac:dyDescent="0.3">
      <c r="A643" s="4" t="str">
        <f t="shared" si="29"/>
        <v/>
      </c>
      <c r="D643" s="1" t="str">
        <f t="shared" si="28"/>
        <v/>
      </c>
      <c r="E643" s="5" t="str">
        <f t="shared" si="30"/>
        <v/>
      </c>
      <c r="F643" s="6" t="str">
        <f t="shared" si="31"/>
        <v/>
      </c>
      <c r="G643" s="7" t="str">
        <f>IFERROR(總表[[#This Row],[數量]]*總表[[#This Row],[單價]],"")</f>
        <v/>
      </c>
      <c r="H643" s="8" t="str">
        <f t="shared" si="32"/>
        <v/>
      </c>
    </row>
    <row r="644" spans="1:8" x14ac:dyDescent="0.3">
      <c r="A644" s="4" t="str">
        <f t="shared" si="29"/>
        <v/>
      </c>
      <c r="D644" s="1" t="str">
        <f t="shared" si="28"/>
        <v/>
      </c>
      <c r="E644" s="5" t="str">
        <f t="shared" si="30"/>
        <v/>
      </c>
      <c r="F644" s="6" t="str">
        <f t="shared" si="31"/>
        <v/>
      </c>
      <c r="G644" s="7" t="str">
        <f>IFERROR(總表[[#This Row],[數量]]*總表[[#This Row],[單價]],"")</f>
        <v/>
      </c>
      <c r="H644" s="8" t="str">
        <f t="shared" si="32"/>
        <v/>
      </c>
    </row>
    <row r="645" spans="1:8" x14ac:dyDescent="0.3">
      <c r="A645" s="4" t="str">
        <f t="shared" si="29"/>
        <v/>
      </c>
      <c r="D645" s="1" t="str">
        <f t="shared" si="28"/>
        <v/>
      </c>
      <c r="E645" s="5" t="str">
        <f t="shared" si="30"/>
        <v/>
      </c>
      <c r="F645" s="6" t="str">
        <f t="shared" si="31"/>
        <v/>
      </c>
      <c r="G645" s="7" t="str">
        <f>IFERROR(總表[[#This Row],[數量]]*總表[[#This Row],[單價]],"")</f>
        <v/>
      </c>
      <c r="H645" s="8" t="str">
        <f t="shared" si="32"/>
        <v/>
      </c>
    </row>
    <row r="646" spans="1:8" x14ac:dyDescent="0.3">
      <c r="A646" s="4" t="str">
        <f t="shared" si="29"/>
        <v/>
      </c>
      <c r="D646" s="1" t="str">
        <f t="shared" si="28"/>
        <v/>
      </c>
      <c r="E646" s="5" t="str">
        <f t="shared" si="30"/>
        <v/>
      </c>
      <c r="F646" s="6" t="str">
        <f t="shared" si="31"/>
        <v/>
      </c>
      <c r="G646" s="7" t="str">
        <f>IFERROR(總表[[#This Row],[數量]]*總表[[#This Row],[單價]],"")</f>
        <v/>
      </c>
      <c r="H646" s="8" t="str">
        <f t="shared" si="32"/>
        <v/>
      </c>
    </row>
    <row r="647" spans="1:8" x14ac:dyDescent="0.3">
      <c r="A647" s="4" t="str">
        <f t="shared" si="29"/>
        <v/>
      </c>
      <c r="D647" s="1" t="str">
        <f t="shared" si="28"/>
        <v/>
      </c>
      <c r="E647" s="5" t="str">
        <f t="shared" si="30"/>
        <v/>
      </c>
      <c r="F647" s="6" t="str">
        <f t="shared" si="31"/>
        <v/>
      </c>
      <c r="G647" s="7" t="str">
        <f>IFERROR(總表[[#This Row],[數量]]*總表[[#This Row],[單價]],"")</f>
        <v/>
      </c>
      <c r="H647" s="8" t="str">
        <f t="shared" si="32"/>
        <v/>
      </c>
    </row>
    <row r="648" spans="1:8" x14ac:dyDescent="0.3">
      <c r="A648" s="4" t="str">
        <f t="shared" si="29"/>
        <v/>
      </c>
      <c r="D648" s="1" t="str">
        <f t="shared" si="28"/>
        <v/>
      </c>
      <c r="E648" s="5" t="str">
        <f t="shared" si="30"/>
        <v/>
      </c>
      <c r="F648" s="6" t="str">
        <f t="shared" si="31"/>
        <v/>
      </c>
      <c r="G648" s="7" t="str">
        <f>IFERROR(總表[[#This Row],[數量]]*總表[[#This Row],[單價]],"")</f>
        <v/>
      </c>
      <c r="H648" s="8" t="str">
        <f t="shared" si="32"/>
        <v/>
      </c>
    </row>
    <row r="649" spans="1:8" x14ac:dyDescent="0.3">
      <c r="A649" s="4" t="str">
        <f t="shared" si="29"/>
        <v/>
      </c>
      <c r="D649" s="1" t="str">
        <f t="shared" si="28"/>
        <v/>
      </c>
      <c r="E649" s="5" t="str">
        <f t="shared" si="30"/>
        <v/>
      </c>
      <c r="F649" s="6" t="str">
        <f t="shared" si="31"/>
        <v/>
      </c>
      <c r="G649" s="7" t="str">
        <f>IFERROR(總表[[#This Row],[數量]]*總表[[#This Row],[單價]],"")</f>
        <v/>
      </c>
      <c r="H649" s="8" t="str">
        <f t="shared" si="32"/>
        <v/>
      </c>
    </row>
    <row r="650" spans="1:8" x14ac:dyDescent="0.3">
      <c r="A650" s="4" t="str">
        <f t="shared" si="29"/>
        <v/>
      </c>
      <c r="D650" s="1" t="str">
        <f t="shared" si="28"/>
        <v/>
      </c>
      <c r="E650" s="5" t="str">
        <f t="shared" si="30"/>
        <v/>
      </c>
      <c r="F650" s="6" t="str">
        <f t="shared" si="31"/>
        <v/>
      </c>
      <c r="G650" s="7" t="str">
        <f>IFERROR(總表[[#This Row],[數量]]*總表[[#This Row],[單價]],"")</f>
        <v/>
      </c>
      <c r="H650" s="8" t="str">
        <f t="shared" si="32"/>
        <v/>
      </c>
    </row>
    <row r="651" spans="1:8" x14ac:dyDescent="0.3">
      <c r="A651" s="4" t="str">
        <f t="shared" si="29"/>
        <v/>
      </c>
      <c r="D651" s="1" t="str">
        <f t="shared" ref="D651:D714" si="33">_xlfn.IFNA(VLOOKUP(B651,$B:$G,3,0),"")</f>
        <v/>
      </c>
      <c r="E651" s="5" t="str">
        <f t="shared" si="30"/>
        <v/>
      </c>
      <c r="F651" s="6" t="str">
        <f t="shared" si="31"/>
        <v/>
      </c>
      <c r="G651" s="7" t="str">
        <f>IFERROR(總表[[#This Row],[數量]]*總表[[#This Row],[單價]],"")</f>
        <v/>
      </c>
      <c r="H651" s="8" t="str">
        <f t="shared" si="32"/>
        <v/>
      </c>
    </row>
    <row r="652" spans="1:8" x14ac:dyDescent="0.3">
      <c r="A652" s="4" t="str">
        <f t="shared" si="29"/>
        <v/>
      </c>
      <c r="D652" s="1" t="str">
        <f t="shared" si="33"/>
        <v/>
      </c>
      <c r="E652" s="5" t="str">
        <f t="shared" si="30"/>
        <v/>
      </c>
      <c r="F652" s="6" t="str">
        <f t="shared" si="31"/>
        <v/>
      </c>
      <c r="G652" s="7" t="str">
        <f>IFERROR(總表[[#This Row],[數量]]*總表[[#This Row],[單價]],"")</f>
        <v/>
      </c>
      <c r="H652" s="8" t="str">
        <f t="shared" si="32"/>
        <v/>
      </c>
    </row>
    <row r="653" spans="1:8" x14ac:dyDescent="0.3">
      <c r="A653" s="4" t="str">
        <f t="shared" si="29"/>
        <v/>
      </c>
      <c r="D653" s="1" t="str">
        <f t="shared" si="33"/>
        <v/>
      </c>
      <c r="E653" s="5" t="str">
        <f t="shared" si="30"/>
        <v/>
      </c>
      <c r="F653" s="6" t="str">
        <f t="shared" si="31"/>
        <v/>
      </c>
      <c r="G653" s="7" t="str">
        <f>IFERROR(總表[[#This Row],[數量]]*總表[[#This Row],[單價]],"")</f>
        <v/>
      </c>
      <c r="H653" s="8" t="str">
        <f t="shared" si="32"/>
        <v/>
      </c>
    </row>
    <row r="654" spans="1:8" x14ac:dyDescent="0.3">
      <c r="A654" s="4" t="str">
        <f t="shared" si="29"/>
        <v/>
      </c>
      <c r="D654" s="1" t="str">
        <f t="shared" si="33"/>
        <v/>
      </c>
      <c r="E654" s="5" t="str">
        <f t="shared" si="30"/>
        <v/>
      </c>
      <c r="F654" s="6" t="str">
        <f t="shared" si="31"/>
        <v/>
      </c>
      <c r="G654" s="7" t="str">
        <f>IFERROR(總表[[#This Row],[數量]]*總表[[#This Row],[單價]],"")</f>
        <v/>
      </c>
      <c r="H654" s="8" t="str">
        <f t="shared" si="32"/>
        <v/>
      </c>
    </row>
    <row r="655" spans="1:8" x14ac:dyDescent="0.3">
      <c r="A655" s="4" t="str">
        <f t="shared" si="29"/>
        <v/>
      </c>
      <c r="D655" s="1" t="str">
        <f t="shared" si="33"/>
        <v/>
      </c>
      <c r="E655" s="5" t="str">
        <f t="shared" si="30"/>
        <v/>
      </c>
      <c r="F655" s="6" t="str">
        <f t="shared" si="31"/>
        <v/>
      </c>
      <c r="G655" s="7" t="str">
        <f>IFERROR(總表[[#This Row],[數量]]*總表[[#This Row],[單價]],"")</f>
        <v/>
      </c>
      <c r="H655" s="8" t="str">
        <f t="shared" si="32"/>
        <v/>
      </c>
    </row>
    <row r="656" spans="1:8" x14ac:dyDescent="0.3">
      <c r="A656" s="4" t="str">
        <f t="shared" si="29"/>
        <v/>
      </c>
      <c r="D656" s="1" t="str">
        <f t="shared" si="33"/>
        <v/>
      </c>
      <c r="E656" s="5" t="str">
        <f t="shared" si="30"/>
        <v/>
      </c>
      <c r="F656" s="6" t="str">
        <f t="shared" si="31"/>
        <v/>
      </c>
      <c r="G656" s="7" t="str">
        <f>IFERROR(總表[[#This Row],[數量]]*總表[[#This Row],[單價]],"")</f>
        <v/>
      </c>
      <c r="H656" s="8" t="str">
        <f t="shared" si="32"/>
        <v/>
      </c>
    </row>
    <row r="657" spans="1:8" x14ac:dyDescent="0.3">
      <c r="A657" s="4" t="str">
        <f t="shared" si="29"/>
        <v/>
      </c>
      <c r="D657" s="1" t="str">
        <f t="shared" si="33"/>
        <v/>
      </c>
      <c r="E657" s="5" t="str">
        <f t="shared" si="30"/>
        <v/>
      </c>
      <c r="F657" s="6" t="str">
        <f t="shared" si="31"/>
        <v/>
      </c>
      <c r="G657" s="7" t="str">
        <f>IFERROR(總表[[#This Row],[數量]]*總表[[#This Row],[單價]],"")</f>
        <v/>
      </c>
      <c r="H657" s="8" t="str">
        <f t="shared" si="32"/>
        <v/>
      </c>
    </row>
    <row r="658" spans="1:8" x14ac:dyDescent="0.3">
      <c r="A658" s="4" t="str">
        <f t="shared" si="29"/>
        <v/>
      </c>
      <c r="D658" s="1" t="str">
        <f t="shared" si="33"/>
        <v/>
      </c>
      <c r="E658" s="5" t="str">
        <f t="shared" si="30"/>
        <v/>
      </c>
      <c r="F658" s="6" t="str">
        <f t="shared" si="31"/>
        <v/>
      </c>
      <c r="G658" s="7" t="str">
        <f>IFERROR(總表[[#This Row],[數量]]*總表[[#This Row],[單價]],"")</f>
        <v/>
      </c>
      <c r="H658" s="8" t="str">
        <f t="shared" si="32"/>
        <v/>
      </c>
    </row>
    <row r="659" spans="1:8" x14ac:dyDescent="0.3">
      <c r="A659" s="4" t="str">
        <f t="shared" si="29"/>
        <v/>
      </c>
      <c r="D659" s="1" t="str">
        <f t="shared" si="33"/>
        <v/>
      </c>
      <c r="E659" s="5" t="str">
        <f t="shared" si="30"/>
        <v/>
      </c>
      <c r="F659" s="6" t="str">
        <f t="shared" si="31"/>
        <v/>
      </c>
      <c r="G659" s="7" t="str">
        <f>IFERROR(總表[[#This Row],[數量]]*總表[[#This Row],[單價]],"")</f>
        <v/>
      </c>
      <c r="H659" s="8" t="str">
        <f t="shared" si="32"/>
        <v/>
      </c>
    </row>
    <row r="660" spans="1:8" x14ac:dyDescent="0.3">
      <c r="A660" s="4" t="str">
        <f t="shared" si="29"/>
        <v/>
      </c>
      <c r="D660" s="1" t="str">
        <f t="shared" si="33"/>
        <v/>
      </c>
      <c r="E660" s="5" t="str">
        <f t="shared" si="30"/>
        <v/>
      </c>
      <c r="F660" s="6" t="str">
        <f t="shared" si="31"/>
        <v/>
      </c>
      <c r="G660" s="7" t="str">
        <f>IFERROR(總表[[#This Row],[數量]]*總表[[#This Row],[單價]],"")</f>
        <v/>
      </c>
      <c r="H660" s="8" t="str">
        <f t="shared" si="32"/>
        <v/>
      </c>
    </row>
    <row r="661" spans="1:8" x14ac:dyDescent="0.3">
      <c r="A661" s="4" t="str">
        <f t="shared" si="29"/>
        <v/>
      </c>
      <c r="D661" s="1" t="str">
        <f t="shared" si="33"/>
        <v/>
      </c>
      <c r="E661" s="5" t="str">
        <f t="shared" si="30"/>
        <v/>
      </c>
      <c r="F661" s="6" t="str">
        <f t="shared" si="31"/>
        <v/>
      </c>
      <c r="G661" s="7" t="str">
        <f>IFERROR(總表[[#This Row],[數量]]*總表[[#This Row],[單價]],"")</f>
        <v/>
      </c>
      <c r="H661" s="8" t="str">
        <f t="shared" si="32"/>
        <v/>
      </c>
    </row>
    <row r="662" spans="1:8" x14ac:dyDescent="0.3">
      <c r="A662" s="4" t="str">
        <f t="shared" si="29"/>
        <v/>
      </c>
      <c r="D662" s="1" t="str">
        <f t="shared" si="33"/>
        <v/>
      </c>
      <c r="E662" s="5" t="str">
        <f t="shared" si="30"/>
        <v/>
      </c>
      <c r="F662" s="6" t="str">
        <f t="shared" si="31"/>
        <v/>
      </c>
      <c r="G662" s="7" t="str">
        <f>IFERROR(總表[[#This Row],[數量]]*總表[[#This Row],[單價]],"")</f>
        <v/>
      </c>
      <c r="H662" s="8" t="str">
        <f t="shared" si="32"/>
        <v/>
      </c>
    </row>
    <row r="663" spans="1:8" x14ac:dyDescent="0.3">
      <c r="A663" s="4" t="str">
        <f t="shared" si="29"/>
        <v/>
      </c>
      <c r="D663" s="1" t="str">
        <f t="shared" si="33"/>
        <v/>
      </c>
      <c r="E663" s="5" t="str">
        <f t="shared" si="30"/>
        <v/>
      </c>
      <c r="F663" s="6" t="str">
        <f t="shared" si="31"/>
        <v/>
      </c>
      <c r="G663" s="7" t="str">
        <f>IFERROR(總表[[#This Row],[數量]]*總表[[#This Row],[單價]],"")</f>
        <v/>
      </c>
      <c r="H663" s="8" t="str">
        <f t="shared" si="32"/>
        <v/>
      </c>
    </row>
    <row r="664" spans="1:8" x14ac:dyDescent="0.3">
      <c r="A664" s="4" t="str">
        <f t="shared" si="29"/>
        <v/>
      </c>
      <c r="D664" s="1" t="str">
        <f t="shared" si="33"/>
        <v/>
      </c>
      <c r="E664" s="5" t="str">
        <f t="shared" si="30"/>
        <v/>
      </c>
      <c r="F664" s="6" t="str">
        <f t="shared" si="31"/>
        <v/>
      </c>
      <c r="G664" s="7" t="str">
        <f>IFERROR(總表[[#This Row],[數量]]*總表[[#This Row],[單價]],"")</f>
        <v/>
      </c>
      <c r="H664" s="8" t="str">
        <f t="shared" si="32"/>
        <v/>
      </c>
    </row>
    <row r="665" spans="1:8" x14ac:dyDescent="0.3">
      <c r="A665" s="4" t="str">
        <f t="shared" si="29"/>
        <v/>
      </c>
      <c r="D665" s="1" t="str">
        <f t="shared" si="33"/>
        <v/>
      </c>
      <c r="E665" s="5" t="str">
        <f t="shared" si="30"/>
        <v/>
      </c>
      <c r="F665" s="6" t="str">
        <f t="shared" si="31"/>
        <v/>
      </c>
      <c r="G665" s="7" t="str">
        <f>IFERROR(總表[[#This Row],[數量]]*總表[[#This Row],[單價]],"")</f>
        <v/>
      </c>
      <c r="H665" s="8" t="str">
        <f t="shared" si="32"/>
        <v/>
      </c>
    </row>
    <row r="666" spans="1:8" x14ac:dyDescent="0.3">
      <c r="A666" s="4" t="str">
        <f t="shared" si="29"/>
        <v/>
      </c>
      <c r="D666" s="1" t="str">
        <f t="shared" si="33"/>
        <v/>
      </c>
      <c r="E666" s="5" t="str">
        <f t="shared" si="30"/>
        <v/>
      </c>
      <c r="F666" s="6" t="str">
        <f t="shared" si="31"/>
        <v/>
      </c>
      <c r="G666" s="7" t="str">
        <f>IFERROR(總表[[#This Row],[數量]]*總表[[#This Row],[單價]],"")</f>
        <v/>
      </c>
      <c r="H666" s="8" t="str">
        <f t="shared" si="32"/>
        <v/>
      </c>
    </row>
    <row r="667" spans="1:8" x14ac:dyDescent="0.3">
      <c r="A667" s="4" t="str">
        <f t="shared" si="29"/>
        <v/>
      </c>
      <c r="D667" s="1" t="str">
        <f t="shared" si="33"/>
        <v/>
      </c>
      <c r="E667" s="5" t="str">
        <f t="shared" si="30"/>
        <v/>
      </c>
      <c r="F667" s="6" t="str">
        <f t="shared" si="31"/>
        <v/>
      </c>
      <c r="G667" s="7" t="str">
        <f>IFERROR(總表[[#This Row],[數量]]*總表[[#This Row],[單價]],"")</f>
        <v/>
      </c>
      <c r="H667" s="8" t="str">
        <f t="shared" si="32"/>
        <v/>
      </c>
    </row>
    <row r="668" spans="1:8" x14ac:dyDescent="0.3">
      <c r="A668" s="4" t="str">
        <f t="shared" si="29"/>
        <v/>
      </c>
      <c r="D668" s="1" t="str">
        <f t="shared" si="33"/>
        <v/>
      </c>
      <c r="E668" s="5" t="str">
        <f t="shared" si="30"/>
        <v/>
      </c>
      <c r="F668" s="6" t="str">
        <f t="shared" si="31"/>
        <v/>
      </c>
      <c r="G668" s="7" t="str">
        <f>IFERROR(總表[[#This Row],[數量]]*總表[[#This Row],[單價]],"")</f>
        <v/>
      </c>
      <c r="H668" s="8" t="str">
        <f t="shared" si="32"/>
        <v/>
      </c>
    </row>
    <row r="669" spans="1:8" x14ac:dyDescent="0.3">
      <c r="A669" s="4" t="str">
        <f t="shared" si="29"/>
        <v/>
      </c>
      <c r="D669" s="1" t="str">
        <f t="shared" si="33"/>
        <v/>
      </c>
      <c r="E669" s="5" t="str">
        <f t="shared" si="30"/>
        <v/>
      </c>
      <c r="F669" s="6" t="str">
        <f t="shared" si="31"/>
        <v/>
      </c>
      <c r="G669" s="7" t="str">
        <f>IFERROR(總表[[#This Row],[數量]]*總表[[#This Row],[單價]],"")</f>
        <v/>
      </c>
      <c r="H669" s="8" t="str">
        <f t="shared" si="32"/>
        <v/>
      </c>
    </row>
    <row r="670" spans="1:8" x14ac:dyDescent="0.3">
      <c r="A670" s="4" t="str">
        <f t="shared" si="29"/>
        <v/>
      </c>
      <c r="D670" s="1" t="str">
        <f t="shared" si="33"/>
        <v/>
      </c>
      <c r="E670" s="5" t="str">
        <f t="shared" si="30"/>
        <v/>
      </c>
      <c r="F670" s="6" t="str">
        <f t="shared" si="31"/>
        <v/>
      </c>
      <c r="G670" s="7" t="str">
        <f>IFERROR(總表[[#This Row],[數量]]*總表[[#This Row],[單價]],"")</f>
        <v/>
      </c>
      <c r="H670" s="8" t="str">
        <f t="shared" si="32"/>
        <v/>
      </c>
    </row>
    <row r="671" spans="1:8" x14ac:dyDescent="0.3">
      <c r="A671" s="4" t="str">
        <f t="shared" si="29"/>
        <v/>
      </c>
      <c r="D671" s="1" t="str">
        <f t="shared" si="33"/>
        <v/>
      </c>
      <c r="E671" s="5" t="str">
        <f t="shared" si="30"/>
        <v/>
      </c>
      <c r="F671" s="6" t="str">
        <f t="shared" si="31"/>
        <v/>
      </c>
      <c r="G671" s="7" t="str">
        <f>IFERROR(總表[[#This Row],[數量]]*總表[[#This Row],[單價]],"")</f>
        <v/>
      </c>
      <c r="H671" s="8" t="str">
        <f t="shared" si="32"/>
        <v/>
      </c>
    </row>
    <row r="672" spans="1:8" x14ac:dyDescent="0.3">
      <c r="A672" s="4" t="str">
        <f t="shared" si="29"/>
        <v/>
      </c>
      <c r="D672" s="1" t="str">
        <f t="shared" si="33"/>
        <v/>
      </c>
      <c r="E672" s="5" t="str">
        <f t="shared" si="30"/>
        <v/>
      </c>
      <c r="F672" s="6" t="str">
        <f t="shared" si="31"/>
        <v/>
      </c>
      <c r="G672" s="7" t="str">
        <f>IFERROR(總表[[#This Row],[數量]]*總表[[#This Row],[單價]],"")</f>
        <v/>
      </c>
      <c r="H672" s="8" t="str">
        <f t="shared" si="32"/>
        <v/>
      </c>
    </row>
    <row r="673" spans="1:8" x14ac:dyDescent="0.3">
      <c r="A673" s="4" t="str">
        <f t="shared" si="29"/>
        <v/>
      </c>
      <c r="D673" s="1" t="str">
        <f t="shared" si="33"/>
        <v/>
      </c>
      <c r="E673" s="5" t="str">
        <f t="shared" si="30"/>
        <v/>
      </c>
      <c r="F673" s="6" t="str">
        <f t="shared" si="31"/>
        <v/>
      </c>
      <c r="G673" s="7" t="str">
        <f>IFERROR(總表[[#This Row],[數量]]*總表[[#This Row],[單價]],"")</f>
        <v/>
      </c>
      <c r="H673" s="8" t="str">
        <f t="shared" si="32"/>
        <v/>
      </c>
    </row>
    <row r="674" spans="1:8" x14ac:dyDescent="0.3">
      <c r="A674" s="4" t="str">
        <f t="shared" si="29"/>
        <v/>
      </c>
      <c r="D674" s="1" t="str">
        <f t="shared" si="33"/>
        <v/>
      </c>
      <c r="E674" s="5" t="str">
        <f t="shared" si="30"/>
        <v/>
      </c>
      <c r="F674" s="6" t="str">
        <f t="shared" si="31"/>
        <v/>
      </c>
      <c r="G674" s="7" t="str">
        <f>IFERROR(總表[[#This Row],[數量]]*總表[[#This Row],[單價]],"")</f>
        <v/>
      </c>
      <c r="H674" s="8" t="str">
        <f t="shared" si="32"/>
        <v/>
      </c>
    </row>
    <row r="675" spans="1:8" x14ac:dyDescent="0.3">
      <c r="A675" s="4" t="str">
        <f t="shared" si="29"/>
        <v/>
      </c>
      <c r="D675" s="1" t="str">
        <f t="shared" si="33"/>
        <v/>
      </c>
      <c r="E675" s="5" t="str">
        <f t="shared" si="30"/>
        <v/>
      </c>
      <c r="F675" s="6" t="str">
        <f t="shared" si="31"/>
        <v/>
      </c>
      <c r="G675" s="7" t="str">
        <f>IFERROR(總表[[#This Row],[數量]]*總表[[#This Row],[單價]],"")</f>
        <v/>
      </c>
      <c r="H675" s="8" t="str">
        <f t="shared" si="32"/>
        <v/>
      </c>
    </row>
    <row r="676" spans="1:8" x14ac:dyDescent="0.3">
      <c r="A676" s="4" t="str">
        <f t="shared" si="29"/>
        <v/>
      </c>
      <c r="D676" s="1" t="str">
        <f t="shared" si="33"/>
        <v/>
      </c>
      <c r="E676" s="5" t="str">
        <f t="shared" si="30"/>
        <v/>
      </c>
      <c r="F676" s="6" t="str">
        <f t="shared" si="31"/>
        <v/>
      </c>
      <c r="G676" s="7" t="str">
        <f>IFERROR(總表[[#This Row],[數量]]*總表[[#This Row],[單價]],"")</f>
        <v/>
      </c>
      <c r="H676" s="8" t="str">
        <f t="shared" si="32"/>
        <v/>
      </c>
    </row>
    <row r="677" spans="1:8" x14ac:dyDescent="0.3">
      <c r="A677" s="4" t="str">
        <f t="shared" si="29"/>
        <v/>
      </c>
      <c r="D677" s="1" t="str">
        <f t="shared" si="33"/>
        <v/>
      </c>
      <c r="E677" s="5" t="str">
        <f t="shared" si="30"/>
        <v/>
      </c>
      <c r="F677" s="6" t="str">
        <f t="shared" si="31"/>
        <v/>
      </c>
      <c r="G677" s="7" t="str">
        <f>IFERROR(總表[[#This Row],[數量]]*總表[[#This Row],[單價]],"")</f>
        <v/>
      </c>
      <c r="H677" s="8" t="str">
        <f t="shared" si="32"/>
        <v/>
      </c>
    </row>
    <row r="678" spans="1:8" x14ac:dyDescent="0.3">
      <c r="A678" s="4" t="str">
        <f t="shared" si="29"/>
        <v/>
      </c>
      <c r="D678" s="1" t="str">
        <f t="shared" si="33"/>
        <v/>
      </c>
      <c r="E678" s="5" t="str">
        <f t="shared" si="30"/>
        <v/>
      </c>
      <c r="F678" s="6" t="str">
        <f t="shared" si="31"/>
        <v/>
      </c>
      <c r="G678" s="7" t="str">
        <f>IFERROR(總表[[#This Row],[數量]]*總表[[#This Row],[單價]],"")</f>
        <v/>
      </c>
      <c r="H678" s="8" t="str">
        <f t="shared" si="32"/>
        <v/>
      </c>
    </row>
    <row r="679" spans="1:8" x14ac:dyDescent="0.3">
      <c r="A679" s="4" t="str">
        <f t="shared" si="29"/>
        <v/>
      </c>
      <c r="D679" s="1" t="str">
        <f t="shared" si="33"/>
        <v/>
      </c>
      <c r="E679" s="5" t="str">
        <f t="shared" si="30"/>
        <v/>
      </c>
      <c r="F679" s="6" t="str">
        <f t="shared" si="31"/>
        <v/>
      </c>
      <c r="G679" s="7" t="str">
        <f>IFERROR(總表[[#This Row],[數量]]*總表[[#This Row],[單價]],"")</f>
        <v/>
      </c>
      <c r="H679" s="8" t="str">
        <f t="shared" si="32"/>
        <v/>
      </c>
    </row>
    <row r="680" spans="1:8" x14ac:dyDescent="0.3">
      <c r="A680" s="4" t="str">
        <f t="shared" si="29"/>
        <v/>
      </c>
      <c r="D680" s="1" t="str">
        <f t="shared" si="33"/>
        <v/>
      </c>
      <c r="E680" s="5" t="str">
        <f t="shared" si="30"/>
        <v/>
      </c>
      <c r="F680" s="6" t="str">
        <f t="shared" si="31"/>
        <v/>
      </c>
      <c r="G680" s="7" t="str">
        <f>IFERROR(總表[[#This Row],[數量]]*總表[[#This Row],[單價]],"")</f>
        <v/>
      </c>
      <c r="H680" s="8" t="str">
        <f t="shared" si="32"/>
        <v/>
      </c>
    </row>
    <row r="681" spans="1:8" x14ac:dyDescent="0.3">
      <c r="A681" s="4" t="str">
        <f t="shared" si="29"/>
        <v/>
      </c>
      <c r="D681" s="1" t="str">
        <f t="shared" si="33"/>
        <v/>
      </c>
      <c r="E681" s="5" t="str">
        <f t="shared" si="30"/>
        <v/>
      </c>
      <c r="F681" s="6" t="str">
        <f t="shared" si="31"/>
        <v/>
      </c>
      <c r="G681" s="7" t="str">
        <f>IFERROR(總表[[#This Row],[數量]]*總表[[#This Row],[單價]],"")</f>
        <v/>
      </c>
      <c r="H681" s="8" t="str">
        <f t="shared" si="32"/>
        <v/>
      </c>
    </row>
    <row r="682" spans="1:8" x14ac:dyDescent="0.3">
      <c r="A682" s="4" t="str">
        <f t="shared" si="29"/>
        <v/>
      </c>
      <c r="D682" s="1" t="str">
        <f t="shared" si="33"/>
        <v/>
      </c>
      <c r="E682" s="5" t="str">
        <f t="shared" si="30"/>
        <v/>
      </c>
      <c r="F682" s="6" t="str">
        <f t="shared" si="31"/>
        <v/>
      </c>
      <c r="G682" s="7" t="str">
        <f>IFERROR(總表[[#This Row],[數量]]*總表[[#This Row],[單價]],"")</f>
        <v/>
      </c>
      <c r="H682" s="8" t="str">
        <f t="shared" si="32"/>
        <v/>
      </c>
    </row>
    <row r="683" spans="1:8" x14ac:dyDescent="0.3">
      <c r="A683" s="4" t="str">
        <f t="shared" si="29"/>
        <v/>
      </c>
      <c r="D683" s="1" t="str">
        <f t="shared" si="33"/>
        <v/>
      </c>
      <c r="E683" s="5" t="str">
        <f t="shared" si="30"/>
        <v/>
      </c>
      <c r="F683" s="6" t="str">
        <f t="shared" si="31"/>
        <v/>
      </c>
      <c r="G683" s="7" t="str">
        <f>IFERROR(總表[[#This Row],[數量]]*總表[[#This Row],[單價]],"")</f>
        <v/>
      </c>
      <c r="H683" s="8" t="str">
        <f t="shared" si="32"/>
        <v/>
      </c>
    </row>
    <row r="684" spans="1:8" x14ac:dyDescent="0.3">
      <c r="A684" s="4" t="str">
        <f t="shared" si="29"/>
        <v/>
      </c>
      <c r="D684" s="1" t="str">
        <f t="shared" si="33"/>
        <v/>
      </c>
      <c r="E684" s="5" t="str">
        <f t="shared" si="30"/>
        <v/>
      </c>
      <c r="F684" s="6" t="str">
        <f t="shared" si="31"/>
        <v/>
      </c>
      <c r="G684" s="7" t="str">
        <f>IFERROR(總表[[#This Row],[數量]]*總表[[#This Row],[單價]],"")</f>
        <v/>
      </c>
      <c r="H684" s="8" t="str">
        <f t="shared" si="32"/>
        <v/>
      </c>
    </row>
    <row r="685" spans="1:8" x14ac:dyDescent="0.3">
      <c r="A685" s="4" t="str">
        <f t="shared" si="29"/>
        <v/>
      </c>
      <c r="D685" s="1" t="str">
        <f t="shared" si="33"/>
        <v/>
      </c>
      <c r="E685" s="5" t="str">
        <f t="shared" si="30"/>
        <v/>
      </c>
      <c r="F685" s="6" t="str">
        <f t="shared" si="31"/>
        <v/>
      </c>
      <c r="G685" s="7" t="str">
        <f>IFERROR(總表[[#This Row],[數量]]*總表[[#This Row],[單價]],"")</f>
        <v/>
      </c>
      <c r="H685" s="8" t="str">
        <f t="shared" si="32"/>
        <v/>
      </c>
    </row>
    <row r="686" spans="1:8" x14ac:dyDescent="0.3">
      <c r="A686" s="4" t="str">
        <f t="shared" si="29"/>
        <v/>
      </c>
      <c r="D686" s="1" t="str">
        <f t="shared" si="33"/>
        <v/>
      </c>
      <c r="E686" s="5" t="str">
        <f t="shared" si="30"/>
        <v/>
      </c>
      <c r="F686" s="6" t="str">
        <f t="shared" si="31"/>
        <v/>
      </c>
      <c r="G686" s="7" t="str">
        <f>IFERROR(總表[[#This Row],[數量]]*總表[[#This Row],[單價]],"")</f>
        <v/>
      </c>
      <c r="H686" s="8" t="str">
        <f t="shared" si="32"/>
        <v/>
      </c>
    </row>
    <row r="687" spans="1:8" x14ac:dyDescent="0.3">
      <c r="A687" s="4" t="str">
        <f t="shared" si="29"/>
        <v/>
      </c>
      <c r="D687" s="1" t="str">
        <f t="shared" si="33"/>
        <v/>
      </c>
      <c r="E687" s="5" t="str">
        <f t="shared" si="30"/>
        <v/>
      </c>
      <c r="F687" s="6" t="str">
        <f t="shared" si="31"/>
        <v/>
      </c>
      <c r="G687" s="7" t="str">
        <f>IFERROR(總表[[#This Row],[數量]]*總表[[#This Row],[單價]],"")</f>
        <v/>
      </c>
      <c r="H687" s="8" t="str">
        <f t="shared" si="32"/>
        <v/>
      </c>
    </row>
    <row r="688" spans="1:8" x14ac:dyDescent="0.3">
      <c r="A688" s="4" t="str">
        <f t="shared" si="29"/>
        <v/>
      </c>
      <c r="D688" s="1" t="str">
        <f t="shared" si="33"/>
        <v/>
      </c>
      <c r="E688" s="5" t="str">
        <f t="shared" si="30"/>
        <v/>
      </c>
      <c r="F688" s="6" t="str">
        <f t="shared" si="31"/>
        <v/>
      </c>
      <c r="G688" s="7" t="str">
        <f>IFERROR(總表[[#This Row],[數量]]*總表[[#This Row],[單價]],"")</f>
        <v/>
      </c>
      <c r="H688" s="8" t="str">
        <f t="shared" si="32"/>
        <v/>
      </c>
    </row>
    <row r="689" spans="1:8" x14ac:dyDescent="0.3">
      <c r="A689" s="4" t="str">
        <f t="shared" si="29"/>
        <v/>
      </c>
      <c r="D689" s="1" t="str">
        <f t="shared" si="33"/>
        <v/>
      </c>
      <c r="E689" s="5" t="str">
        <f t="shared" si="30"/>
        <v/>
      </c>
      <c r="F689" s="6" t="str">
        <f t="shared" si="31"/>
        <v/>
      </c>
      <c r="G689" s="7" t="str">
        <f>IFERROR(總表[[#This Row],[數量]]*總表[[#This Row],[單價]],"")</f>
        <v/>
      </c>
      <c r="H689" s="8" t="str">
        <f t="shared" si="32"/>
        <v/>
      </c>
    </row>
    <row r="690" spans="1:8" x14ac:dyDescent="0.3">
      <c r="A690" s="4" t="str">
        <f t="shared" si="29"/>
        <v/>
      </c>
      <c r="D690" s="1" t="str">
        <f t="shared" si="33"/>
        <v/>
      </c>
      <c r="E690" s="5" t="str">
        <f t="shared" si="30"/>
        <v/>
      </c>
      <c r="F690" s="6" t="str">
        <f t="shared" si="31"/>
        <v/>
      </c>
      <c r="G690" s="7" t="str">
        <f>IFERROR(總表[[#This Row],[數量]]*總表[[#This Row],[單價]],"")</f>
        <v/>
      </c>
      <c r="H690" s="8" t="str">
        <f t="shared" si="32"/>
        <v/>
      </c>
    </row>
    <row r="691" spans="1:8" x14ac:dyDescent="0.3">
      <c r="A691" s="4" t="str">
        <f t="shared" si="29"/>
        <v/>
      </c>
      <c r="D691" s="1" t="str">
        <f t="shared" si="33"/>
        <v/>
      </c>
      <c r="E691" s="5" t="str">
        <f t="shared" si="30"/>
        <v/>
      </c>
      <c r="F691" s="6" t="str">
        <f t="shared" si="31"/>
        <v/>
      </c>
      <c r="G691" s="7" t="str">
        <f>IFERROR(總表[[#This Row],[數量]]*總表[[#This Row],[單價]],"")</f>
        <v/>
      </c>
      <c r="H691" s="8" t="str">
        <f t="shared" si="32"/>
        <v/>
      </c>
    </row>
    <row r="692" spans="1:8" x14ac:dyDescent="0.3">
      <c r="A692" s="4" t="str">
        <f t="shared" si="29"/>
        <v/>
      </c>
      <c r="D692" s="1" t="str">
        <f t="shared" si="33"/>
        <v/>
      </c>
      <c r="E692" s="5" t="str">
        <f t="shared" si="30"/>
        <v/>
      </c>
      <c r="F692" s="6" t="str">
        <f t="shared" si="31"/>
        <v/>
      </c>
      <c r="G692" s="7" t="str">
        <f>IFERROR(總表[[#This Row],[數量]]*總表[[#This Row],[單價]],"")</f>
        <v/>
      </c>
      <c r="H692" s="8" t="str">
        <f t="shared" si="32"/>
        <v/>
      </c>
    </row>
    <row r="693" spans="1:8" x14ac:dyDescent="0.3">
      <c r="A693" s="4" t="str">
        <f t="shared" si="29"/>
        <v/>
      </c>
      <c r="D693" s="1" t="str">
        <f t="shared" si="33"/>
        <v/>
      </c>
      <c r="E693" s="5" t="str">
        <f t="shared" si="30"/>
        <v/>
      </c>
      <c r="F693" s="6" t="str">
        <f t="shared" si="31"/>
        <v/>
      </c>
      <c r="G693" s="7" t="str">
        <f>IFERROR(總表[[#This Row],[數量]]*總表[[#This Row],[單價]],"")</f>
        <v/>
      </c>
      <c r="H693" s="8" t="str">
        <f t="shared" si="32"/>
        <v/>
      </c>
    </row>
    <row r="694" spans="1:8" x14ac:dyDescent="0.3">
      <c r="A694" s="4" t="str">
        <f t="shared" si="29"/>
        <v/>
      </c>
      <c r="D694" s="1" t="str">
        <f t="shared" si="33"/>
        <v/>
      </c>
      <c r="E694" s="5" t="str">
        <f t="shared" si="30"/>
        <v/>
      </c>
      <c r="F694" s="6" t="str">
        <f t="shared" si="31"/>
        <v/>
      </c>
      <c r="G694" s="7" t="str">
        <f>IFERROR(總表[[#This Row],[數量]]*總表[[#This Row],[單價]],"")</f>
        <v/>
      </c>
      <c r="H694" s="8" t="str">
        <f t="shared" si="32"/>
        <v/>
      </c>
    </row>
    <row r="695" spans="1:8" x14ac:dyDescent="0.3">
      <c r="A695" s="4" t="str">
        <f t="shared" si="29"/>
        <v/>
      </c>
      <c r="D695" s="1" t="str">
        <f t="shared" si="33"/>
        <v/>
      </c>
      <c r="E695" s="5" t="str">
        <f t="shared" si="30"/>
        <v/>
      </c>
      <c r="F695" s="6" t="str">
        <f t="shared" si="31"/>
        <v/>
      </c>
      <c r="G695" s="7" t="str">
        <f>IFERROR(總表[[#This Row],[數量]]*總表[[#This Row],[單價]],"")</f>
        <v/>
      </c>
      <c r="H695" s="8" t="str">
        <f t="shared" si="32"/>
        <v/>
      </c>
    </row>
    <row r="696" spans="1:8" x14ac:dyDescent="0.3">
      <c r="A696" s="4" t="str">
        <f t="shared" si="29"/>
        <v/>
      </c>
      <c r="D696" s="1" t="str">
        <f t="shared" si="33"/>
        <v/>
      </c>
      <c r="E696" s="5" t="str">
        <f t="shared" si="30"/>
        <v/>
      </c>
      <c r="F696" s="6" t="str">
        <f t="shared" si="31"/>
        <v/>
      </c>
      <c r="G696" s="7" t="str">
        <f>IFERROR(總表[[#This Row],[數量]]*總表[[#This Row],[單價]],"")</f>
        <v/>
      </c>
      <c r="H696" s="8" t="str">
        <f t="shared" si="32"/>
        <v/>
      </c>
    </row>
    <row r="697" spans="1:8" x14ac:dyDescent="0.3">
      <c r="A697" s="4" t="str">
        <f t="shared" si="29"/>
        <v/>
      </c>
      <c r="D697" s="1" t="str">
        <f t="shared" si="33"/>
        <v/>
      </c>
      <c r="E697" s="5" t="str">
        <f t="shared" si="30"/>
        <v/>
      </c>
      <c r="F697" s="6" t="str">
        <f t="shared" si="31"/>
        <v/>
      </c>
      <c r="G697" s="7" t="str">
        <f>IFERROR(總表[[#This Row],[數量]]*總表[[#This Row],[單價]],"")</f>
        <v/>
      </c>
      <c r="H697" s="8" t="str">
        <f t="shared" si="32"/>
        <v/>
      </c>
    </row>
    <row r="698" spans="1:8" x14ac:dyDescent="0.3">
      <c r="A698" s="4" t="str">
        <f t="shared" si="29"/>
        <v/>
      </c>
      <c r="D698" s="1" t="str">
        <f t="shared" si="33"/>
        <v/>
      </c>
      <c r="E698" s="5" t="str">
        <f t="shared" si="30"/>
        <v/>
      </c>
      <c r="F698" s="6" t="str">
        <f t="shared" si="31"/>
        <v/>
      </c>
      <c r="G698" s="7" t="str">
        <f>IFERROR(總表[[#This Row],[數量]]*總表[[#This Row],[單價]],"")</f>
        <v/>
      </c>
      <c r="H698" s="8" t="str">
        <f t="shared" si="32"/>
        <v/>
      </c>
    </row>
    <row r="699" spans="1:8" x14ac:dyDescent="0.3">
      <c r="A699" s="4" t="str">
        <f t="shared" si="29"/>
        <v/>
      </c>
      <c r="D699" s="1" t="str">
        <f t="shared" si="33"/>
        <v/>
      </c>
      <c r="E699" s="5" t="str">
        <f t="shared" si="30"/>
        <v/>
      </c>
      <c r="F699" s="6" t="str">
        <f t="shared" si="31"/>
        <v/>
      </c>
      <c r="G699" s="7" t="str">
        <f>IFERROR(總表[[#This Row],[數量]]*總表[[#This Row],[單價]],"")</f>
        <v/>
      </c>
      <c r="H699" s="8" t="str">
        <f t="shared" si="32"/>
        <v/>
      </c>
    </row>
    <row r="700" spans="1:8" x14ac:dyDescent="0.3">
      <c r="A700" s="4" t="str">
        <f t="shared" si="29"/>
        <v/>
      </c>
      <c r="D700" s="1" t="str">
        <f t="shared" si="33"/>
        <v/>
      </c>
      <c r="E700" s="5" t="str">
        <f t="shared" si="30"/>
        <v/>
      </c>
      <c r="F700" s="6" t="str">
        <f t="shared" si="31"/>
        <v/>
      </c>
      <c r="G700" s="7" t="str">
        <f>IFERROR(總表[[#This Row],[數量]]*總表[[#This Row],[單價]],"")</f>
        <v/>
      </c>
      <c r="H700" s="8" t="str">
        <f t="shared" si="32"/>
        <v/>
      </c>
    </row>
    <row r="701" spans="1:8" x14ac:dyDescent="0.3">
      <c r="A701" s="4" t="str">
        <f t="shared" si="29"/>
        <v/>
      </c>
      <c r="D701" s="1" t="str">
        <f t="shared" si="33"/>
        <v/>
      </c>
      <c r="E701" s="5" t="str">
        <f t="shared" si="30"/>
        <v/>
      </c>
      <c r="F701" s="6" t="str">
        <f t="shared" si="31"/>
        <v/>
      </c>
      <c r="G701" s="7" t="str">
        <f>IFERROR(總表[[#This Row],[數量]]*總表[[#This Row],[單價]],"")</f>
        <v/>
      </c>
      <c r="H701" s="8" t="str">
        <f t="shared" si="32"/>
        <v/>
      </c>
    </row>
    <row r="702" spans="1:8" x14ac:dyDescent="0.3">
      <c r="A702" s="4" t="str">
        <f t="shared" si="29"/>
        <v/>
      </c>
      <c r="D702" s="1" t="str">
        <f t="shared" si="33"/>
        <v/>
      </c>
      <c r="E702" s="5" t="str">
        <f t="shared" si="30"/>
        <v/>
      </c>
      <c r="F702" s="6" t="str">
        <f t="shared" si="31"/>
        <v/>
      </c>
      <c r="G702" s="7" t="str">
        <f>IFERROR(總表[[#This Row],[數量]]*總表[[#This Row],[單價]],"")</f>
        <v/>
      </c>
      <c r="H702" s="8" t="str">
        <f t="shared" si="32"/>
        <v/>
      </c>
    </row>
    <row r="703" spans="1:8" x14ac:dyDescent="0.3">
      <c r="A703" s="4" t="str">
        <f t="shared" si="29"/>
        <v/>
      </c>
      <c r="D703" s="1" t="str">
        <f t="shared" si="33"/>
        <v/>
      </c>
      <c r="E703" s="5" t="str">
        <f t="shared" si="30"/>
        <v/>
      </c>
      <c r="F703" s="6" t="str">
        <f t="shared" si="31"/>
        <v/>
      </c>
      <c r="G703" s="7" t="str">
        <f>IFERROR(總表[[#This Row],[數量]]*總表[[#This Row],[單價]],"")</f>
        <v/>
      </c>
      <c r="H703" s="8" t="str">
        <f t="shared" si="32"/>
        <v/>
      </c>
    </row>
    <row r="704" spans="1:8" x14ac:dyDescent="0.3">
      <c r="A704" s="4" t="str">
        <f t="shared" si="29"/>
        <v/>
      </c>
      <c r="D704" s="1" t="str">
        <f t="shared" si="33"/>
        <v/>
      </c>
      <c r="E704" s="5" t="str">
        <f t="shared" si="30"/>
        <v/>
      </c>
      <c r="F704" s="6" t="str">
        <f t="shared" si="31"/>
        <v/>
      </c>
      <c r="G704" s="7" t="str">
        <f>IFERROR(總表[[#This Row],[數量]]*總表[[#This Row],[單價]],"")</f>
        <v/>
      </c>
      <c r="H704" s="8" t="str">
        <f t="shared" si="32"/>
        <v/>
      </c>
    </row>
    <row r="705" spans="1:8" x14ac:dyDescent="0.3">
      <c r="A705" s="4" t="str">
        <f t="shared" si="29"/>
        <v/>
      </c>
      <c r="D705" s="1" t="str">
        <f t="shared" si="33"/>
        <v/>
      </c>
      <c r="E705" s="5" t="str">
        <f t="shared" si="30"/>
        <v/>
      </c>
      <c r="F705" s="6" t="str">
        <f t="shared" si="31"/>
        <v/>
      </c>
      <c r="G705" s="7" t="str">
        <f>IFERROR(總表[[#This Row],[數量]]*總表[[#This Row],[單價]],"")</f>
        <v/>
      </c>
      <c r="H705" s="8" t="str">
        <f t="shared" si="32"/>
        <v/>
      </c>
    </row>
    <row r="706" spans="1:8" x14ac:dyDescent="0.3">
      <c r="A706" s="4" t="str">
        <f t="shared" ref="A706:A769" si="34">IF(B706="","",A705)</f>
        <v/>
      </c>
      <c r="D706" s="1" t="str">
        <f t="shared" si="33"/>
        <v/>
      </c>
      <c r="E706" s="5" t="str">
        <f t="shared" ref="E706:E769" si="35">_xlfn.IFNA(VLOOKUP(B706,$B:$G,4,0),"")</f>
        <v/>
      </c>
      <c r="F706" s="6" t="str">
        <f t="shared" ref="F706:F769" si="36">_xlfn.IFNA(VLOOKUP(B706,$B:$G,5,0),"")</f>
        <v/>
      </c>
      <c r="G706" s="7" t="str">
        <f>IFERROR(總表[[#This Row],[數量]]*總表[[#This Row],[單價]],"")</f>
        <v/>
      </c>
      <c r="H706" s="8" t="str">
        <f t="shared" ref="H706:H769" si="37">IF(A706&lt;&gt;A705,SUMIF(A:A, A706, G:G),"")</f>
        <v/>
      </c>
    </row>
    <row r="707" spans="1:8" x14ac:dyDescent="0.3">
      <c r="A707" s="4" t="str">
        <f t="shared" si="34"/>
        <v/>
      </c>
      <c r="D707" s="1" t="str">
        <f t="shared" si="33"/>
        <v/>
      </c>
      <c r="E707" s="5" t="str">
        <f t="shared" si="35"/>
        <v/>
      </c>
      <c r="F707" s="6" t="str">
        <f t="shared" si="36"/>
        <v/>
      </c>
      <c r="G707" s="7" t="str">
        <f>IFERROR(總表[[#This Row],[數量]]*總表[[#This Row],[單價]],"")</f>
        <v/>
      </c>
      <c r="H707" s="8" t="str">
        <f t="shared" si="37"/>
        <v/>
      </c>
    </row>
    <row r="708" spans="1:8" x14ac:dyDescent="0.3">
      <c r="A708" s="4" t="str">
        <f t="shared" si="34"/>
        <v/>
      </c>
      <c r="D708" s="1" t="str">
        <f t="shared" si="33"/>
        <v/>
      </c>
      <c r="E708" s="5" t="str">
        <f t="shared" si="35"/>
        <v/>
      </c>
      <c r="F708" s="6" t="str">
        <f t="shared" si="36"/>
        <v/>
      </c>
      <c r="G708" s="7" t="str">
        <f>IFERROR(總表[[#This Row],[數量]]*總表[[#This Row],[單價]],"")</f>
        <v/>
      </c>
      <c r="H708" s="8" t="str">
        <f t="shared" si="37"/>
        <v/>
      </c>
    </row>
    <row r="709" spans="1:8" x14ac:dyDescent="0.3">
      <c r="A709" s="4" t="str">
        <f t="shared" si="34"/>
        <v/>
      </c>
      <c r="D709" s="1" t="str">
        <f t="shared" si="33"/>
        <v/>
      </c>
      <c r="E709" s="5" t="str">
        <f t="shared" si="35"/>
        <v/>
      </c>
      <c r="F709" s="6" t="str">
        <f t="shared" si="36"/>
        <v/>
      </c>
      <c r="G709" s="7" t="str">
        <f>IFERROR(總表[[#This Row],[數量]]*總表[[#This Row],[單價]],"")</f>
        <v/>
      </c>
      <c r="H709" s="8" t="str">
        <f t="shared" si="37"/>
        <v/>
      </c>
    </row>
    <row r="710" spans="1:8" x14ac:dyDescent="0.3">
      <c r="A710" s="4" t="str">
        <f t="shared" si="34"/>
        <v/>
      </c>
      <c r="D710" s="1" t="str">
        <f t="shared" si="33"/>
        <v/>
      </c>
      <c r="E710" s="5" t="str">
        <f t="shared" si="35"/>
        <v/>
      </c>
      <c r="F710" s="6" t="str">
        <f t="shared" si="36"/>
        <v/>
      </c>
      <c r="G710" s="7" t="str">
        <f>IFERROR(總表[[#This Row],[數量]]*總表[[#This Row],[單價]],"")</f>
        <v/>
      </c>
      <c r="H710" s="8" t="str">
        <f t="shared" si="37"/>
        <v/>
      </c>
    </row>
    <row r="711" spans="1:8" x14ac:dyDescent="0.3">
      <c r="A711" s="4" t="str">
        <f t="shared" si="34"/>
        <v/>
      </c>
      <c r="D711" s="1" t="str">
        <f t="shared" si="33"/>
        <v/>
      </c>
      <c r="E711" s="5" t="str">
        <f t="shared" si="35"/>
        <v/>
      </c>
      <c r="F711" s="6" t="str">
        <f t="shared" si="36"/>
        <v/>
      </c>
      <c r="G711" s="7" t="str">
        <f>IFERROR(總表[[#This Row],[數量]]*總表[[#This Row],[單價]],"")</f>
        <v/>
      </c>
      <c r="H711" s="8" t="str">
        <f t="shared" si="37"/>
        <v/>
      </c>
    </row>
    <row r="712" spans="1:8" x14ac:dyDescent="0.3">
      <c r="A712" s="4" t="str">
        <f t="shared" si="34"/>
        <v/>
      </c>
      <c r="D712" s="1" t="str">
        <f t="shared" si="33"/>
        <v/>
      </c>
      <c r="E712" s="5" t="str">
        <f t="shared" si="35"/>
        <v/>
      </c>
      <c r="F712" s="6" t="str">
        <f t="shared" si="36"/>
        <v/>
      </c>
      <c r="G712" s="7" t="str">
        <f>IFERROR(總表[[#This Row],[數量]]*總表[[#This Row],[單價]],"")</f>
        <v/>
      </c>
      <c r="H712" s="8" t="str">
        <f t="shared" si="37"/>
        <v/>
      </c>
    </row>
    <row r="713" spans="1:8" x14ac:dyDescent="0.3">
      <c r="A713" s="4" t="str">
        <f t="shared" si="34"/>
        <v/>
      </c>
      <c r="D713" s="1" t="str">
        <f t="shared" si="33"/>
        <v/>
      </c>
      <c r="E713" s="5" t="str">
        <f t="shared" si="35"/>
        <v/>
      </c>
      <c r="F713" s="6" t="str">
        <f t="shared" si="36"/>
        <v/>
      </c>
      <c r="G713" s="7" t="str">
        <f>IFERROR(總表[[#This Row],[數量]]*總表[[#This Row],[單價]],"")</f>
        <v/>
      </c>
      <c r="H713" s="8" t="str">
        <f t="shared" si="37"/>
        <v/>
      </c>
    </row>
    <row r="714" spans="1:8" x14ac:dyDescent="0.3">
      <c r="A714" s="4" t="str">
        <f t="shared" si="34"/>
        <v/>
      </c>
      <c r="D714" s="1" t="str">
        <f t="shared" si="33"/>
        <v/>
      </c>
      <c r="E714" s="5" t="str">
        <f t="shared" si="35"/>
        <v/>
      </c>
      <c r="F714" s="6" t="str">
        <f t="shared" si="36"/>
        <v/>
      </c>
      <c r="G714" s="7" t="str">
        <f>IFERROR(總表[[#This Row],[數量]]*總表[[#This Row],[單價]],"")</f>
        <v/>
      </c>
      <c r="H714" s="8" t="str">
        <f t="shared" si="37"/>
        <v/>
      </c>
    </row>
    <row r="715" spans="1:8" x14ac:dyDescent="0.3">
      <c r="A715" s="4" t="str">
        <f t="shared" si="34"/>
        <v/>
      </c>
      <c r="D715" s="1" t="str">
        <f t="shared" ref="D715:D778" si="38">_xlfn.IFNA(VLOOKUP(B715,$B:$G,3,0),"")</f>
        <v/>
      </c>
      <c r="E715" s="5" t="str">
        <f t="shared" si="35"/>
        <v/>
      </c>
      <c r="F715" s="6" t="str">
        <f t="shared" si="36"/>
        <v/>
      </c>
      <c r="G715" s="7" t="str">
        <f>IFERROR(總表[[#This Row],[數量]]*總表[[#This Row],[單價]],"")</f>
        <v/>
      </c>
      <c r="H715" s="8" t="str">
        <f t="shared" si="37"/>
        <v/>
      </c>
    </row>
    <row r="716" spans="1:8" x14ac:dyDescent="0.3">
      <c r="A716" s="4" t="str">
        <f t="shared" si="34"/>
        <v/>
      </c>
      <c r="D716" s="1" t="str">
        <f t="shared" si="38"/>
        <v/>
      </c>
      <c r="E716" s="5" t="str">
        <f t="shared" si="35"/>
        <v/>
      </c>
      <c r="F716" s="6" t="str">
        <f t="shared" si="36"/>
        <v/>
      </c>
      <c r="G716" s="7" t="str">
        <f>IFERROR(總表[[#This Row],[數量]]*總表[[#This Row],[單價]],"")</f>
        <v/>
      </c>
      <c r="H716" s="8" t="str">
        <f t="shared" si="37"/>
        <v/>
      </c>
    </row>
    <row r="717" spans="1:8" x14ac:dyDescent="0.3">
      <c r="A717" s="4" t="str">
        <f t="shared" si="34"/>
        <v/>
      </c>
      <c r="D717" s="1" t="str">
        <f t="shared" si="38"/>
        <v/>
      </c>
      <c r="E717" s="5" t="str">
        <f t="shared" si="35"/>
        <v/>
      </c>
      <c r="F717" s="6" t="str">
        <f t="shared" si="36"/>
        <v/>
      </c>
      <c r="G717" s="7" t="str">
        <f>IFERROR(總表[[#This Row],[數量]]*總表[[#This Row],[單價]],"")</f>
        <v/>
      </c>
      <c r="H717" s="8" t="str">
        <f t="shared" si="37"/>
        <v/>
      </c>
    </row>
    <row r="718" spans="1:8" x14ac:dyDescent="0.3">
      <c r="A718" s="4" t="str">
        <f t="shared" si="34"/>
        <v/>
      </c>
      <c r="D718" s="1" t="str">
        <f t="shared" si="38"/>
        <v/>
      </c>
      <c r="E718" s="5" t="str">
        <f t="shared" si="35"/>
        <v/>
      </c>
      <c r="F718" s="6" t="str">
        <f t="shared" si="36"/>
        <v/>
      </c>
      <c r="G718" s="7" t="str">
        <f>IFERROR(總表[[#This Row],[數量]]*總表[[#This Row],[單價]],"")</f>
        <v/>
      </c>
      <c r="H718" s="8" t="str">
        <f t="shared" si="37"/>
        <v/>
      </c>
    </row>
    <row r="719" spans="1:8" x14ac:dyDescent="0.3">
      <c r="A719" s="4" t="str">
        <f t="shared" si="34"/>
        <v/>
      </c>
      <c r="D719" s="1" t="str">
        <f t="shared" si="38"/>
        <v/>
      </c>
      <c r="E719" s="5" t="str">
        <f t="shared" si="35"/>
        <v/>
      </c>
      <c r="F719" s="6" t="str">
        <f t="shared" si="36"/>
        <v/>
      </c>
      <c r="G719" s="7" t="str">
        <f>IFERROR(總表[[#This Row],[數量]]*總表[[#This Row],[單價]],"")</f>
        <v/>
      </c>
      <c r="H719" s="8" t="str">
        <f t="shared" si="37"/>
        <v/>
      </c>
    </row>
    <row r="720" spans="1:8" x14ac:dyDescent="0.3">
      <c r="A720" s="4" t="str">
        <f t="shared" si="34"/>
        <v/>
      </c>
      <c r="D720" s="1" t="str">
        <f t="shared" si="38"/>
        <v/>
      </c>
      <c r="E720" s="5" t="str">
        <f t="shared" si="35"/>
        <v/>
      </c>
      <c r="F720" s="6" t="str">
        <f t="shared" si="36"/>
        <v/>
      </c>
      <c r="G720" s="7" t="str">
        <f>IFERROR(總表[[#This Row],[數量]]*總表[[#This Row],[單價]],"")</f>
        <v/>
      </c>
      <c r="H720" s="8" t="str">
        <f t="shared" si="37"/>
        <v/>
      </c>
    </row>
    <row r="721" spans="1:8" x14ac:dyDescent="0.3">
      <c r="A721" s="4" t="str">
        <f t="shared" si="34"/>
        <v/>
      </c>
      <c r="D721" s="1" t="str">
        <f t="shared" si="38"/>
        <v/>
      </c>
      <c r="E721" s="5" t="str">
        <f t="shared" si="35"/>
        <v/>
      </c>
      <c r="F721" s="6" t="str">
        <f t="shared" si="36"/>
        <v/>
      </c>
      <c r="G721" s="7" t="str">
        <f>IFERROR(總表[[#This Row],[數量]]*總表[[#This Row],[單價]],"")</f>
        <v/>
      </c>
      <c r="H721" s="8" t="str">
        <f t="shared" si="37"/>
        <v/>
      </c>
    </row>
    <row r="722" spans="1:8" x14ac:dyDescent="0.3">
      <c r="A722" s="4" t="str">
        <f t="shared" si="34"/>
        <v/>
      </c>
      <c r="D722" s="1" t="str">
        <f t="shared" si="38"/>
        <v/>
      </c>
      <c r="E722" s="5" t="str">
        <f t="shared" si="35"/>
        <v/>
      </c>
      <c r="F722" s="6" t="str">
        <f t="shared" si="36"/>
        <v/>
      </c>
      <c r="G722" s="7" t="str">
        <f>IFERROR(總表[[#This Row],[數量]]*總表[[#This Row],[單價]],"")</f>
        <v/>
      </c>
      <c r="H722" s="8" t="str">
        <f t="shared" si="37"/>
        <v/>
      </c>
    </row>
    <row r="723" spans="1:8" x14ac:dyDescent="0.3">
      <c r="A723" s="4" t="str">
        <f t="shared" si="34"/>
        <v/>
      </c>
      <c r="D723" s="1" t="str">
        <f t="shared" si="38"/>
        <v/>
      </c>
      <c r="E723" s="5" t="str">
        <f t="shared" si="35"/>
        <v/>
      </c>
      <c r="F723" s="6" t="str">
        <f t="shared" si="36"/>
        <v/>
      </c>
      <c r="G723" s="7" t="str">
        <f>IFERROR(總表[[#This Row],[數量]]*總表[[#This Row],[單價]],"")</f>
        <v/>
      </c>
      <c r="H723" s="8" t="str">
        <f t="shared" si="37"/>
        <v/>
      </c>
    </row>
    <row r="724" spans="1:8" x14ac:dyDescent="0.3">
      <c r="A724" s="4" t="str">
        <f t="shared" si="34"/>
        <v/>
      </c>
      <c r="D724" s="1" t="str">
        <f t="shared" si="38"/>
        <v/>
      </c>
      <c r="E724" s="5" t="str">
        <f t="shared" si="35"/>
        <v/>
      </c>
      <c r="F724" s="6" t="str">
        <f t="shared" si="36"/>
        <v/>
      </c>
      <c r="G724" s="7" t="str">
        <f>IFERROR(總表[[#This Row],[數量]]*總表[[#This Row],[單價]],"")</f>
        <v/>
      </c>
      <c r="H724" s="8" t="str">
        <f t="shared" si="37"/>
        <v/>
      </c>
    </row>
    <row r="725" spans="1:8" x14ac:dyDescent="0.3">
      <c r="A725" s="4" t="str">
        <f t="shared" si="34"/>
        <v/>
      </c>
      <c r="D725" s="1" t="str">
        <f t="shared" si="38"/>
        <v/>
      </c>
      <c r="E725" s="5" t="str">
        <f t="shared" si="35"/>
        <v/>
      </c>
      <c r="F725" s="6" t="str">
        <f t="shared" si="36"/>
        <v/>
      </c>
      <c r="G725" s="7" t="str">
        <f>IFERROR(總表[[#This Row],[數量]]*總表[[#This Row],[單價]],"")</f>
        <v/>
      </c>
      <c r="H725" s="8" t="str">
        <f t="shared" si="37"/>
        <v/>
      </c>
    </row>
    <row r="726" spans="1:8" x14ac:dyDescent="0.3">
      <c r="A726" s="4" t="str">
        <f t="shared" si="34"/>
        <v/>
      </c>
      <c r="D726" s="1" t="str">
        <f t="shared" si="38"/>
        <v/>
      </c>
      <c r="E726" s="5" t="str">
        <f t="shared" si="35"/>
        <v/>
      </c>
      <c r="F726" s="6" t="str">
        <f t="shared" si="36"/>
        <v/>
      </c>
      <c r="G726" s="7" t="str">
        <f>IFERROR(總表[[#This Row],[數量]]*總表[[#This Row],[單價]],"")</f>
        <v/>
      </c>
      <c r="H726" s="8" t="str">
        <f t="shared" si="37"/>
        <v/>
      </c>
    </row>
    <row r="727" spans="1:8" x14ac:dyDescent="0.3">
      <c r="A727" s="4" t="str">
        <f t="shared" si="34"/>
        <v/>
      </c>
      <c r="D727" s="1" t="str">
        <f t="shared" si="38"/>
        <v/>
      </c>
      <c r="E727" s="5" t="str">
        <f t="shared" si="35"/>
        <v/>
      </c>
      <c r="F727" s="6" t="str">
        <f t="shared" si="36"/>
        <v/>
      </c>
      <c r="G727" s="7" t="str">
        <f>IFERROR(總表[[#This Row],[數量]]*總表[[#This Row],[單價]],"")</f>
        <v/>
      </c>
      <c r="H727" s="8" t="str">
        <f t="shared" si="37"/>
        <v/>
      </c>
    </row>
    <row r="728" spans="1:8" x14ac:dyDescent="0.3">
      <c r="A728" s="4" t="str">
        <f t="shared" si="34"/>
        <v/>
      </c>
      <c r="D728" s="1" t="str">
        <f t="shared" si="38"/>
        <v/>
      </c>
      <c r="E728" s="5" t="str">
        <f t="shared" si="35"/>
        <v/>
      </c>
      <c r="F728" s="6" t="str">
        <f t="shared" si="36"/>
        <v/>
      </c>
      <c r="G728" s="7" t="str">
        <f>IFERROR(總表[[#This Row],[數量]]*總表[[#This Row],[單價]],"")</f>
        <v/>
      </c>
      <c r="H728" s="8" t="str">
        <f t="shared" si="37"/>
        <v/>
      </c>
    </row>
    <row r="729" spans="1:8" x14ac:dyDescent="0.3">
      <c r="A729" s="4" t="str">
        <f t="shared" si="34"/>
        <v/>
      </c>
      <c r="D729" s="1" t="str">
        <f t="shared" si="38"/>
        <v/>
      </c>
      <c r="E729" s="5" t="str">
        <f t="shared" si="35"/>
        <v/>
      </c>
      <c r="F729" s="6" t="str">
        <f t="shared" si="36"/>
        <v/>
      </c>
      <c r="G729" s="7" t="str">
        <f>IFERROR(總表[[#This Row],[數量]]*總表[[#This Row],[單價]],"")</f>
        <v/>
      </c>
      <c r="H729" s="8" t="str">
        <f t="shared" si="37"/>
        <v/>
      </c>
    </row>
    <row r="730" spans="1:8" x14ac:dyDescent="0.3">
      <c r="A730" s="4" t="str">
        <f t="shared" si="34"/>
        <v/>
      </c>
      <c r="D730" s="1" t="str">
        <f t="shared" si="38"/>
        <v/>
      </c>
      <c r="E730" s="5" t="str">
        <f t="shared" si="35"/>
        <v/>
      </c>
      <c r="F730" s="6" t="str">
        <f t="shared" si="36"/>
        <v/>
      </c>
      <c r="G730" s="7" t="str">
        <f>IFERROR(總表[[#This Row],[數量]]*總表[[#This Row],[單價]],"")</f>
        <v/>
      </c>
      <c r="H730" s="8" t="str">
        <f t="shared" si="37"/>
        <v/>
      </c>
    </row>
    <row r="731" spans="1:8" x14ac:dyDescent="0.3">
      <c r="A731" s="4" t="str">
        <f t="shared" si="34"/>
        <v/>
      </c>
      <c r="D731" s="1" t="str">
        <f t="shared" si="38"/>
        <v/>
      </c>
      <c r="E731" s="5" t="str">
        <f t="shared" si="35"/>
        <v/>
      </c>
      <c r="F731" s="6" t="str">
        <f t="shared" si="36"/>
        <v/>
      </c>
      <c r="G731" s="7" t="str">
        <f>IFERROR(總表[[#This Row],[數量]]*總表[[#This Row],[單價]],"")</f>
        <v/>
      </c>
      <c r="H731" s="8" t="str">
        <f t="shared" si="37"/>
        <v/>
      </c>
    </row>
    <row r="732" spans="1:8" x14ac:dyDescent="0.3">
      <c r="A732" s="4" t="str">
        <f t="shared" si="34"/>
        <v/>
      </c>
      <c r="D732" s="1" t="str">
        <f t="shared" si="38"/>
        <v/>
      </c>
      <c r="E732" s="5" t="str">
        <f t="shared" si="35"/>
        <v/>
      </c>
      <c r="F732" s="6" t="str">
        <f t="shared" si="36"/>
        <v/>
      </c>
      <c r="G732" s="7" t="str">
        <f>IFERROR(總表[[#This Row],[數量]]*總表[[#This Row],[單價]],"")</f>
        <v/>
      </c>
      <c r="H732" s="8" t="str">
        <f t="shared" si="37"/>
        <v/>
      </c>
    </row>
    <row r="733" spans="1:8" x14ac:dyDescent="0.3">
      <c r="A733" s="4" t="str">
        <f t="shared" si="34"/>
        <v/>
      </c>
      <c r="D733" s="1" t="str">
        <f t="shared" si="38"/>
        <v/>
      </c>
      <c r="E733" s="5" t="str">
        <f t="shared" si="35"/>
        <v/>
      </c>
      <c r="F733" s="6" t="str">
        <f t="shared" si="36"/>
        <v/>
      </c>
      <c r="G733" s="7" t="str">
        <f>IFERROR(總表[[#This Row],[數量]]*總表[[#This Row],[單價]],"")</f>
        <v/>
      </c>
      <c r="H733" s="8" t="str">
        <f t="shared" si="37"/>
        <v/>
      </c>
    </row>
    <row r="734" spans="1:8" x14ac:dyDescent="0.3">
      <c r="A734" s="4" t="str">
        <f t="shared" si="34"/>
        <v/>
      </c>
      <c r="D734" s="1" t="str">
        <f t="shared" si="38"/>
        <v/>
      </c>
      <c r="E734" s="5" t="str">
        <f t="shared" si="35"/>
        <v/>
      </c>
      <c r="F734" s="6" t="str">
        <f t="shared" si="36"/>
        <v/>
      </c>
      <c r="G734" s="7" t="str">
        <f>IFERROR(總表[[#This Row],[數量]]*總表[[#This Row],[單價]],"")</f>
        <v/>
      </c>
      <c r="H734" s="8" t="str">
        <f t="shared" si="37"/>
        <v/>
      </c>
    </row>
    <row r="735" spans="1:8" x14ac:dyDescent="0.3">
      <c r="A735" s="4" t="str">
        <f t="shared" si="34"/>
        <v/>
      </c>
      <c r="D735" s="1" t="str">
        <f t="shared" si="38"/>
        <v/>
      </c>
      <c r="E735" s="5" t="str">
        <f t="shared" si="35"/>
        <v/>
      </c>
      <c r="F735" s="6" t="str">
        <f t="shared" si="36"/>
        <v/>
      </c>
      <c r="G735" s="7" t="str">
        <f>IFERROR(總表[[#This Row],[數量]]*總表[[#This Row],[單價]],"")</f>
        <v/>
      </c>
      <c r="H735" s="8" t="str">
        <f t="shared" si="37"/>
        <v/>
      </c>
    </row>
    <row r="736" spans="1:8" x14ac:dyDescent="0.3">
      <c r="A736" s="4" t="str">
        <f t="shared" si="34"/>
        <v/>
      </c>
      <c r="D736" s="1" t="str">
        <f t="shared" si="38"/>
        <v/>
      </c>
      <c r="E736" s="5" t="str">
        <f t="shared" si="35"/>
        <v/>
      </c>
      <c r="F736" s="6" t="str">
        <f t="shared" si="36"/>
        <v/>
      </c>
      <c r="G736" s="7" t="str">
        <f>IFERROR(總表[[#This Row],[數量]]*總表[[#This Row],[單價]],"")</f>
        <v/>
      </c>
      <c r="H736" s="8" t="str">
        <f t="shared" si="37"/>
        <v/>
      </c>
    </row>
    <row r="737" spans="1:8" x14ac:dyDescent="0.3">
      <c r="A737" s="4" t="str">
        <f t="shared" si="34"/>
        <v/>
      </c>
      <c r="D737" s="1" t="str">
        <f t="shared" si="38"/>
        <v/>
      </c>
      <c r="E737" s="5" t="str">
        <f t="shared" si="35"/>
        <v/>
      </c>
      <c r="F737" s="6" t="str">
        <f t="shared" si="36"/>
        <v/>
      </c>
      <c r="G737" s="7" t="str">
        <f>IFERROR(總表[[#This Row],[數量]]*總表[[#This Row],[單價]],"")</f>
        <v/>
      </c>
      <c r="H737" s="8" t="str">
        <f t="shared" si="37"/>
        <v/>
      </c>
    </row>
    <row r="738" spans="1:8" x14ac:dyDescent="0.3">
      <c r="A738" s="4" t="str">
        <f t="shared" si="34"/>
        <v/>
      </c>
      <c r="D738" s="1" t="str">
        <f t="shared" si="38"/>
        <v/>
      </c>
      <c r="E738" s="5" t="str">
        <f t="shared" si="35"/>
        <v/>
      </c>
      <c r="F738" s="6" t="str">
        <f t="shared" si="36"/>
        <v/>
      </c>
      <c r="G738" s="7" t="str">
        <f>IFERROR(總表[[#This Row],[數量]]*總表[[#This Row],[單價]],"")</f>
        <v/>
      </c>
      <c r="H738" s="8" t="str">
        <f t="shared" si="37"/>
        <v/>
      </c>
    </row>
    <row r="739" spans="1:8" x14ac:dyDescent="0.3">
      <c r="A739" s="4" t="str">
        <f t="shared" si="34"/>
        <v/>
      </c>
      <c r="D739" s="1" t="str">
        <f t="shared" si="38"/>
        <v/>
      </c>
      <c r="E739" s="5" t="str">
        <f t="shared" si="35"/>
        <v/>
      </c>
      <c r="F739" s="6" t="str">
        <f t="shared" si="36"/>
        <v/>
      </c>
      <c r="G739" s="7" t="str">
        <f>IFERROR(總表[[#This Row],[數量]]*總表[[#This Row],[單價]],"")</f>
        <v/>
      </c>
      <c r="H739" s="8" t="str">
        <f t="shared" si="37"/>
        <v/>
      </c>
    </row>
    <row r="740" spans="1:8" x14ac:dyDescent="0.3">
      <c r="A740" s="4" t="str">
        <f t="shared" si="34"/>
        <v/>
      </c>
      <c r="D740" s="1" t="str">
        <f t="shared" si="38"/>
        <v/>
      </c>
      <c r="E740" s="5" t="str">
        <f t="shared" si="35"/>
        <v/>
      </c>
      <c r="F740" s="6" t="str">
        <f t="shared" si="36"/>
        <v/>
      </c>
      <c r="G740" s="7" t="str">
        <f>IFERROR(總表[[#This Row],[數量]]*總表[[#This Row],[單價]],"")</f>
        <v/>
      </c>
      <c r="H740" s="8" t="str">
        <f t="shared" si="37"/>
        <v/>
      </c>
    </row>
    <row r="741" spans="1:8" x14ac:dyDescent="0.3">
      <c r="A741" s="4" t="str">
        <f t="shared" si="34"/>
        <v/>
      </c>
      <c r="D741" s="1" t="str">
        <f t="shared" si="38"/>
        <v/>
      </c>
      <c r="E741" s="5" t="str">
        <f t="shared" si="35"/>
        <v/>
      </c>
      <c r="F741" s="6" t="str">
        <f t="shared" si="36"/>
        <v/>
      </c>
      <c r="G741" s="7" t="str">
        <f>IFERROR(總表[[#This Row],[數量]]*總表[[#This Row],[單價]],"")</f>
        <v/>
      </c>
      <c r="H741" s="8" t="str">
        <f t="shared" si="37"/>
        <v/>
      </c>
    </row>
    <row r="742" spans="1:8" x14ac:dyDescent="0.3">
      <c r="A742" s="4" t="str">
        <f t="shared" si="34"/>
        <v/>
      </c>
      <c r="D742" s="1" t="str">
        <f t="shared" si="38"/>
        <v/>
      </c>
      <c r="E742" s="5" t="str">
        <f t="shared" si="35"/>
        <v/>
      </c>
      <c r="F742" s="6" t="str">
        <f t="shared" si="36"/>
        <v/>
      </c>
      <c r="G742" s="7" t="str">
        <f>IFERROR(總表[[#This Row],[數量]]*總表[[#This Row],[單價]],"")</f>
        <v/>
      </c>
      <c r="H742" s="8" t="str">
        <f t="shared" si="37"/>
        <v/>
      </c>
    </row>
    <row r="743" spans="1:8" x14ac:dyDescent="0.3">
      <c r="A743" s="4" t="str">
        <f t="shared" si="34"/>
        <v/>
      </c>
      <c r="D743" s="1" t="str">
        <f t="shared" si="38"/>
        <v/>
      </c>
      <c r="E743" s="5" t="str">
        <f t="shared" si="35"/>
        <v/>
      </c>
      <c r="F743" s="6" t="str">
        <f t="shared" si="36"/>
        <v/>
      </c>
      <c r="G743" s="7" t="str">
        <f>IFERROR(總表[[#This Row],[數量]]*總表[[#This Row],[單價]],"")</f>
        <v/>
      </c>
      <c r="H743" s="8" t="str">
        <f t="shared" si="37"/>
        <v/>
      </c>
    </row>
    <row r="744" spans="1:8" x14ac:dyDescent="0.3">
      <c r="A744" s="4" t="str">
        <f t="shared" si="34"/>
        <v/>
      </c>
      <c r="D744" s="1" t="str">
        <f t="shared" si="38"/>
        <v/>
      </c>
      <c r="E744" s="5" t="str">
        <f t="shared" si="35"/>
        <v/>
      </c>
      <c r="F744" s="6" t="str">
        <f t="shared" si="36"/>
        <v/>
      </c>
      <c r="G744" s="7" t="str">
        <f>IFERROR(總表[[#This Row],[數量]]*總表[[#This Row],[單價]],"")</f>
        <v/>
      </c>
      <c r="H744" s="8" t="str">
        <f t="shared" si="37"/>
        <v/>
      </c>
    </row>
    <row r="745" spans="1:8" x14ac:dyDescent="0.3">
      <c r="A745" s="4" t="str">
        <f t="shared" si="34"/>
        <v/>
      </c>
      <c r="D745" s="1" t="str">
        <f t="shared" si="38"/>
        <v/>
      </c>
      <c r="E745" s="5" t="str">
        <f t="shared" si="35"/>
        <v/>
      </c>
      <c r="F745" s="6" t="str">
        <f t="shared" si="36"/>
        <v/>
      </c>
      <c r="G745" s="7" t="str">
        <f>IFERROR(總表[[#This Row],[數量]]*總表[[#This Row],[單價]],"")</f>
        <v/>
      </c>
      <c r="H745" s="8" t="str">
        <f t="shared" si="37"/>
        <v/>
      </c>
    </row>
    <row r="746" spans="1:8" x14ac:dyDescent="0.3">
      <c r="A746" s="4" t="str">
        <f t="shared" si="34"/>
        <v/>
      </c>
      <c r="D746" s="1" t="str">
        <f t="shared" si="38"/>
        <v/>
      </c>
      <c r="E746" s="5" t="str">
        <f t="shared" si="35"/>
        <v/>
      </c>
      <c r="F746" s="6" t="str">
        <f t="shared" si="36"/>
        <v/>
      </c>
      <c r="G746" s="7" t="str">
        <f>IFERROR(總表[[#This Row],[數量]]*總表[[#This Row],[單價]],"")</f>
        <v/>
      </c>
      <c r="H746" s="8" t="str">
        <f t="shared" si="37"/>
        <v/>
      </c>
    </row>
    <row r="747" spans="1:8" x14ac:dyDescent="0.3">
      <c r="A747" s="4" t="str">
        <f t="shared" si="34"/>
        <v/>
      </c>
      <c r="D747" s="1" t="str">
        <f t="shared" si="38"/>
        <v/>
      </c>
      <c r="E747" s="5" t="str">
        <f t="shared" si="35"/>
        <v/>
      </c>
      <c r="F747" s="6" t="str">
        <f t="shared" si="36"/>
        <v/>
      </c>
      <c r="G747" s="7" t="str">
        <f>IFERROR(總表[[#This Row],[數量]]*總表[[#This Row],[單價]],"")</f>
        <v/>
      </c>
      <c r="H747" s="8" t="str">
        <f t="shared" si="37"/>
        <v/>
      </c>
    </row>
    <row r="748" spans="1:8" x14ac:dyDescent="0.3">
      <c r="A748" s="4" t="str">
        <f t="shared" si="34"/>
        <v/>
      </c>
      <c r="D748" s="1" t="str">
        <f t="shared" si="38"/>
        <v/>
      </c>
      <c r="E748" s="5" t="str">
        <f t="shared" si="35"/>
        <v/>
      </c>
      <c r="F748" s="6" t="str">
        <f t="shared" si="36"/>
        <v/>
      </c>
      <c r="G748" s="7" t="str">
        <f>IFERROR(總表[[#This Row],[數量]]*總表[[#This Row],[單價]],"")</f>
        <v/>
      </c>
      <c r="H748" s="8" t="str">
        <f t="shared" si="37"/>
        <v/>
      </c>
    </row>
    <row r="749" spans="1:8" x14ac:dyDescent="0.3">
      <c r="A749" s="4" t="str">
        <f t="shared" si="34"/>
        <v/>
      </c>
      <c r="D749" s="1" t="str">
        <f t="shared" si="38"/>
        <v/>
      </c>
      <c r="E749" s="5" t="str">
        <f t="shared" si="35"/>
        <v/>
      </c>
      <c r="F749" s="6" t="str">
        <f t="shared" si="36"/>
        <v/>
      </c>
      <c r="G749" s="7" t="str">
        <f>IFERROR(總表[[#This Row],[數量]]*總表[[#This Row],[單價]],"")</f>
        <v/>
      </c>
      <c r="H749" s="8" t="str">
        <f t="shared" si="37"/>
        <v/>
      </c>
    </row>
    <row r="750" spans="1:8" x14ac:dyDescent="0.3">
      <c r="A750" s="4" t="str">
        <f t="shared" si="34"/>
        <v/>
      </c>
      <c r="D750" s="1" t="str">
        <f t="shared" si="38"/>
        <v/>
      </c>
      <c r="E750" s="5" t="str">
        <f t="shared" si="35"/>
        <v/>
      </c>
      <c r="F750" s="6" t="str">
        <f t="shared" si="36"/>
        <v/>
      </c>
      <c r="G750" s="7" t="str">
        <f>IFERROR(總表[[#This Row],[數量]]*總表[[#This Row],[單價]],"")</f>
        <v/>
      </c>
      <c r="H750" s="8" t="str">
        <f t="shared" si="37"/>
        <v/>
      </c>
    </row>
    <row r="751" spans="1:8" x14ac:dyDescent="0.3">
      <c r="A751" s="4" t="str">
        <f t="shared" si="34"/>
        <v/>
      </c>
      <c r="D751" s="1" t="str">
        <f t="shared" si="38"/>
        <v/>
      </c>
      <c r="E751" s="5" t="str">
        <f t="shared" si="35"/>
        <v/>
      </c>
      <c r="F751" s="6" t="str">
        <f t="shared" si="36"/>
        <v/>
      </c>
      <c r="G751" s="7" t="str">
        <f>IFERROR(總表[[#This Row],[數量]]*總表[[#This Row],[單價]],"")</f>
        <v/>
      </c>
      <c r="H751" s="8" t="str">
        <f t="shared" si="37"/>
        <v/>
      </c>
    </row>
    <row r="752" spans="1:8" x14ac:dyDescent="0.3">
      <c r="A752" s="4" t="str">
        <f t="shared" si="34"/>
        <v/>
      </c>
      <c r="D752" s="1" t="str">
        <f t="shared" si="38"/>
        <v/>
      </c>
      <c r="E752" s="5" t="str">
        <f t="shared" si="35"/>
        <v/>
      </c>
      <c r="F752" s="6" t="str">
        <f t="shared" si="36"/>
        <v/>
      </c>
      <c r="G752" s="7" t="str">
        <f>IFERROR(總表[[#This Row],[數量]]*總表[[#This Row],[單價]],"")</f>
        <v/>
      </c>
      <c r="H752" s="8" t="str">
        <f t="shared" si="37"/>
        <v/>
      </c>
    </row>
    <row r="753" spans="1:8" x14ac:dyDescent="0.3">
      <c r="A753" s="4" t="str">
        <f t="shared" si="34"/>
        <v/>
      </c>
      <c r="D753" s="1" t="str">
        <f t="shared" si="38"/>
        <v/>
      </c>
      <c r="E753" s="5" t="str">
        <f t="shared" si="35"/>
        <v/>
      </c>
      <c r="F753" s="6" t="str">
        <f t="shared" si="36"/>
        <v/>
      </c>
      <c r="G753" s="7" t="str">
        <f>IFERROR(總表[[#This Row],[數量]]*總表[[#This Row],[單價]],"")</f>
        <v/>
      </c>
      <c r="H753" s="8" t="str">
        <f t="shared" si="37"/>
        <v/>
      </c>
    </row>
    <row r="754" spans="1:8" x14ac:dyDescent="0.3">
      <c r="A754" s="4" t="str">
        <f t="shared" si="34"/>
        <v/>
      </c>
      <c r="D754" s="1" t="str">
        <f t="shared" si="38"/>
        <v/>
      </c>
      <c r="E754" s="5" t="str">
        <f t="shared" si="35"/>
        <v/>
      </c>
      <c r="F754" s="6" t="str">
        <f t="shared" si="36"/>
        <v/>
      </c>
      <c r="G754" s="7" t="str">
        <f>IFERROR(總表[[#This Row],[數量]]*總表[[#This Row],[單價]],"")</f>
        <v/>
      </c>
      <c r="H754" s="8" t="str">
        <f t="shared" si="37"/>
        <v/>
      </c>
    </row>
    <row r="755" spans="1:8" x14ac:dyDescent="0.3">
      <c r="A755" s="4" t="str">
        <f t="shared" si="34"/>
        <v/>
      </c>
      <c r="D755" s="1" t="str">
        <f t="shared" si="38"/>
        <v/>
      </c>
      <c r="E755" s="5" t="str">
        <f t="shared" si="35"/>
        <v/>
      </c>
      <c r="F755" s="6" t="str">
        <f t="shared" si="36"/>
        <v/>
      </c>
      <c r="G755" s="7" t="str">
        <f>IFERROR(總表[[#This Row],[數量]]*總表[[#This Row],[單價]],"")</f>
        <v/>
      </c>
      <c r="H755" s="8" t="str">
        <f t="shared" si="37"/>
        <v/>
      </c>
    </row>
    <row r="756" spans="1:8" x14ac:dyDescent="0.3">
      <c r="A756" s="4" t="str">
        <f t="shared" si="34"/>
        <v/>
      </c>
      <c r="D756" s="1" t="str">
        <f t="shared" si="38"/>
        <v/>
      </c>
      <c r="E756" s="5" t="str">
        <f t="shared" si="35"/>
        <v/>
      </c>
      <c r="F756" s="6" t="str">
        <f t="shared" si="36"/>
        <v/>
      </c>
      <c r="G756" s="7" t="str">
        <f>IFERROR(總表[[#This Row],[數量]]*總表[[#This Row],[單價]],"")</f>
        <v/>
      </c>
      <c r="H756" s="8" t="str">
        <f t="shared" si="37"/>
        <v/>
      </c>
    </row>
    <row r="757" spans="1:8" x14ac:dyDescent="0.3">
      <c r="A757" s="4" t="str">
        <f t="shared" si="34"/>
        <v/>
      </c>
      <c r="D757" s="1" t="str">
        <f t="shared" si="38"/>
        <v/>
      </c>
      <c r="E757" s="5" t="str">
        <f t="shared" si="35"/>
        <v/>
      </c>
      <c r="F757" s="6" t="str">
        <f t="shared" si="36"/>
        <v/>
      </c>
      <c r="G757" s="7" t="str">
        <f>IFERROR(總表[[#This Row],[數量]]*總表[[#This Row],[單價]],"")</f>
        <v/>
      </c>
      <c r="H757" s="8" t="str">
        <f t="shared" si="37"/>
        <v/>
      </c>
    </row>
    <row r="758" spans="1:8" x14ac:dyDescent="0.3">
      <c r="A758" s="4" t="str">
        <f t="shared" si="34"/>
        <v/>
      </c>
      <c r="D758" s="1" t="str">
        <f t="shared" si="38"/>
        <v/>
      </c>
      <c r="E758" s="5" t="str">
        <f t="shared" si="35"/>
        <v/>
      </c>
      <c r="F758" s="6" t="str">
        <f t="shared" si="36"/>
        <v/>
      </c>
      <c r="G758" s="7" t="str">
        <f>IFERROR(總表[[#This Row],[數量]]*總表[[#This Row],[單價]],"")</f>
        <v/>
      </c>
      <c r="H758" s="8" t="str">
        <f t="shared" si="37"/>
        <v/>
      </c>
    </row>
    <row r="759" spans="1:8" x14ac:dyDescent="0.3">
      <c r="A759" s="4" t="str">
        <f t="shared" si="34"/>
        <v/>
      </c>
      <c r="D759" s="1" t="str">
        <f t="shared" si="38"/>
        <v/>
      </c>
      <c r="E759" s="5" t="str">
        <f t="shared" si="35"/>
        <v/>
      </c>
      <c r="F759" s="6" t="str">
        <f t="shared" si="36"/>
        <v/>
      </c>
      <c r="G759" s="7" t="str">
        <f>IFERROR(總表[[#This Row],[數量]]*總表[[#This Row],[單價]],"")</f>
        <v/>
      </c>
      <c r="H759" s="8" t="str">
        <f t="shared" si="37"/>
        <v/>
      </c>
    </row>
    <row r="760" spans="1:8" x14ac:dyDescent="0.3">
      <c r="A760" s="4" t="str">
        <f t="shared" si="34"/>
        <v/>
      </c>
      <c r="D760" s="1" t="str">
        <f t="shared" si="38"/>
        <v/>
      </c>
      <c r="E760" s="5" t="str">
        <f t="shared" si="35"/>
        <v/>
      </c>
      <c r="F760" s="6" t="str">
        <f t="shared" si="36"/>
        <v/>
      </c>
      <c r="G760" s="7" t="str">
        <f>IFERROR(總表[[#This Row],[數量]]*總表[[#This Row],[單價]],"")</f>
        <v/>
      </c>
      <c r="H760" s="8" t="str">
        <f t="shared" si="37"/>
        <v/>
      </c>
    </row>
    <row r="761" spans="1:8" x14ac:dyDescent="0.3">
      <c r="A761" s="4" t="str">
        <f t="shared" si="34"/>
        <v/>
      </c>
      <c r="D761" s="1" t="str">
        <f t="shared" si="38"/>
        <v/>
      </c>
      <c r="E761" s="5" t="str">
        <f t="shared" si="35"/>
        <v/>
      </c>
      <c r="F761" s="6" t="str">
        <f t="shared" si="36"/>
        <v/>
      </c>
      <c r="G761" s="7" t="str">
        <f>IFERROR(總表[[#This Row],[數量]]*總表[[#This Row],[單價]],"")</f>
        <v/>
      </c>
      <c r="H761" s="8" t="str">
        <f t="shared" si="37"/>
        <v/>
      </c>
    </row>
    <row r="762" spans="1:8" x14ac:dyDescent="0.3">
      <c r="A762" s="4" t="str">
        <f t="shared" si="34"/>
        <v/>
      </c>
      <c r="D762" s="1" t="str">
        <f t="shared" si="38"/>
        <v/>
      </c>
      <c r="E762" s="5" t="str">
        <f t="shared" si="35"/>
        <v/>
      </c>
      <c r="F762" s="6" t="str">
        <f t="shared" si="36"/>
        <v/>
      </c>
      <c r="G762" s="7" t="str">
        <f>IFERROR(總表[[#This Row],[數量]]*總表[[#This Row],[單價]],"")</f>
        <v/>
      </c>
      <c r="H762" s="8" t="str">
        <f t="shared" si="37"/>
        <v/>
      </c>
    </row>
    <row r="763" spans="1:8" x14ac:dyDescent="0.3">
      <c r="A763" s="4" t="str">
        <f t="shared" si="34"/>
        <v/>
      </c>
      <c r="D763" s="1" t="str">
        <f t="shared" si="38"/>
        <v/>
      </c>
      <c r="E763" s="5" t="str">
        <f t="shared" si="35"/>
        <v/>
      </c>
      <c r="F763" s="6" t="str">
        <f t="shared" si="36"/>
        <v/>
      </c>
      <c r="G763" s="7" t="str">
        <f>IFERROR(總表[[#This Row],[數量]]*總表[[#This Row],[單價]],"")</f>
        <v/>
      </c>
      <c r="H763" s="8" t="str">
        <f t="shared" si="37"/>
        <v/>
      </c>
    </row>
    <row r="764" spans="1:8" x14ac:dyDescent="0.3">
      <c r="A764" s="4" t="str">
        <f t="shared" si="34"/>
        <v/>
      </c>
      <c r="D764" s="1" t="str">
        <f t="shared" si="38"/>
        <v/>
      </c>
      <c r="E764" s="5" t="str">
        <f t="shared" si="35"/>
        <v/>
      </c>
      <c r="F764" s="6" t="str">
        <f t="shared" si="36"/>
        <v/>
      </c>
      <c r="G764" s="7" t="str">
        <f>IFERROR(總表[[#This Row],[數量]]*總表[[#This Row],[單價]],"")</f>
        <v/>
      </c>
      <c r="H764" s="8" t="str">
        <f t="shared" si="37"/>
        <v/>
      </c>
    </row>
    <row r="765" spans="1:8" x14ac:dyDescent="0.3">
      <c r="A765" s="4" t="str">
        <f t="shared" si="34"/>
        <v/>
      </c>
      <c r="D765" s="1" t="str">
        <f t="shared" si="38"/>
        <v/>
      </c>
      <c r="E765" s="5" t="str">
        <f t="shared" si="35"/>
        <v/>
      </c>
      <c r="F765" s="6" t="str">
        <f t="shared" si="36"/>
        <v/>
      </c>
      <c r="G765" s="7" t="str">
        <f>IFERROR(總表[[#This Row],[數量]]*總表[[#This Row],[單價]],"")</f>
        <v/>
      </c>
      <c r="H765" s="8" t="str">
        <f t="shared" si="37"/>
        <v/>
      </c>
    </row>
    <row r="766" spans="1:8" x14ac:dyDescent="0.3">
      <c r="A766" s="4" t="str">
        <f t="shared" si="34"/>
        <v/>
      </c>
      <c r="D766" s="1" t="str">
        <f t="shared" si="38"/>
        <v/>
      </c>
      <c r="E766" s="5" t="str">
        <f t="shared" si="35"/>
        <v/>
      </c>
      <c r="F766" s="6" t="str">
        <f t="shared" si="36"/>
        <v/>
      </c>
      <c r="G766" s="7" t="str">
        <f>IFERROR(總表[[#This Row],[數量]]*總表[[#This Row],[單價]],"")</f>
        <v/>
      </c>
      <c r="H766" s="8" t="str">
        <f t="shared" si="37"/>
        <v/>
      </c>
    </row>
    <row r="767" spans="1:8" x14ac:dyDescent="0.3">
      <c r="A767" s="4" t="str">
        <f t="shared" si="34"/>
        <v/>
      </c>
      <c r="D767" s="1" t="str">
        <f t="shared" si="38"/>
        <v/>
      </c>
      <c r="E767" s="5" t="str">
        <f t="shared" si="35"/>
        <v/>
      </c>
      <c r="F767" s="6" t="str">
        <f t="shared" si="36"/>
        <v/>
      </c>
      <c r="G767" s="7" t="str">
        <f>IFERROR(總表[[#This Row],[數量]]*總表[[#This Row],[單價]],"")</f>
        <v/>
      </c>
      <c r="H767" s="8" t="str">
        <f t="shared" si="37"/>
        <v/>
      </c>
    </row>
    <row r="768" spans="1:8" x14ac:dyDescent="0.3">
      <c r="A768" s="4" t="str">
        <f t="shared" si="34"/>
        <v/>
      </c>
      <c r="D768" s="1" t="str">
        <f t="shared" si="38"/>
        <v/>
      </c>
      <c r="E768" s="5" t="str">
        <f t="shared" si="35"/>
        <v/>
      </c>
      <c r="F768" s="6" t="str">
        <f t="shared" si="36"/>
        <v/>
      </c>
      <c r="G768" s="7" t="str">
        <f>IFERROR(總表[[#This Row],[數量]]*總表[[#This Row],[單價]],"")</f>
        <v/>
      </c>
      <c r="H768" s="8" t="str">
        <f t="shared" si="37"/>
        <v/>
      </c>
    </row>
    <row r="769" spans="1:8" x14ac:dyDescent="0.3">
      <c r="A769" s="4" t="str">
        <f t="shared" si="34"/>
        <v/>
      </c>
      <c r="D769" s="1" t="str">
        <f t="shared" si="38"/>
        <v/>
      </c>
      <c r="E769" s="5" t="str">
        <f t="shared" si="35"/>
        <v/>
      </c>
      <c r="F769" s="6" t="str">
        <f t="shared" si="36"/>
        <v/>
      </c>
      <c r="G769" s="7" t="str">
        <f>IFERROR(總表[[#This Row],[數量]]*總表[[#This Row],[單價]],"")</f>
        <v/>
      </c>
      <c r="H769" s="8" t="str">
        <f t="shared" si="37"/>
        <v/>
      </c>
    </row>
    <row r="770" spans="1:8" x14ac:dyDescent="0.3">
      <c r="A770" s="4" t="str">
        <f t="shared" ref="A770:A833" si="39">IF(B770="","",A769)</f>
        <v/>
      </c>
      <c r="D770" s="1" t="str">
        <f t="shared" si="38"/>
        <v/>
      </c>
      <c r="E770" s="5" t="str">
        <f t="shared" ref="E770:E833" si="40">_xlfn.IFNA(VLOOKUP(B770,$B:$G,4,0),"")</f>
        <v/>
      </c>
      <c r="F770" s="6" t="str">
        <f t="shared" ref="F770:F833" si="41">_xlfn.IFNA(VLOOKUP(B770,$B:$G,5,0),"")</f>
        <v/>
      </c>
      <c r="G770" s="7" t="str">
        <f>IFERROR(總表[[#This Row],[數量]]*總表[[#This Row],[單價]],"")</f>
        <v/>
      </c>
      <c r="H770" s="8" t="str">
        <f t="shared" ref="H770:H833" si="42">IF(A770&lt;&gt;A769,SUMIF(A:A, A770, G:G),"")</f>
        <v/>
      </c>
    </row>
    <row r="771" spans="1:8" x14ac:dyDescent="0.3">
      <c r="A771" s="4" t="str">
        <f t="shared" si="39"/>
        <v/>
      </c>
      <c r="D771" s="1" t="str">
        <f t="shared" si="38"/>
        <v/>
      </c>
      <c r="E771" s="5" t="str">
        <f t="shared" si="40"/>
        <v/>
      </c>
      <c r="F771" s="6" t="str">
        <f t="shared" si="41"/>
        <v/>
      </c>
      <c r="G771" s="7" t="str">
        <f>IFERROR(總表[[#This Row],[數量]]*總表[[#This Row],[單價]],"")</f>
        <v/>
      </c>
      <c r="H771" s="8" t="str">
        <f t="shared" si="42"/>
        <v/>
      </c>
    </row>
    <row r="772" spans="1:8" x14ac:dyDescent="0.3">
      <c r="A772" s="4" t="str">
        <f t="shared" si="39"/>
        <v/>
      </c>
      <c r="D772" s="1" t="str">
        <f t="shared" si="38"/>
        <v/>
      </c>
      <c r="E772" s="5" t="str">
        <f t="shared" si="40"/>
        <v/>
      </c>
      <c r="F772" s="6" t="str">
        <f t="shared" si="41"/>
        <v/>
      </c>
      <c r="G772" s="7" t="str">
        <f>IFERROR(總表[[#This Row],[數量]]*總表[[#This Row],[單價]],"")</f>
        <v/>
      </c>
      <c r="H772" s="8" t="str">
        <f t="shared" si="42"/>
        <v/>
      </c>
    </row>
    <row r="773" spans="1:8" x14ac:dyDescent="0.3">
      <c r="A773" s="4" t="str">
        <f t="shared" si="39"/>
        <v/>
      </c>
      <c r="D773" s="1" t="str">
        <f t="shared" si="38"/>
        <v/>
      </c>
      <c r="E773" s="5" t="str">
        <f t="shared" si="40"/>
        <v/>
      </c>
      <c r="F773" s="6" t="str">
        <f t="shared" si="41"/>
        <v/>
      </c>
      <c r="G773" s="7" t="str">
        <f>IFERROR(總表[[#This Row],[數量]]*總表[[#This Row],[單價]],"")</f>
        <v/>
      </c>
      <c r="H773" s="8" t="str">
        <f t="shared" si="42"/>
        <v/>
      </c>
    </row>
    <row r="774" spans="1:8" x14ac:dyDescent="0.3">
      <c r="A774" s="4" t="str">
        <f t="shared" si="39"/>
        <v/>
      </c>
      <c r="D774" s="1" t="str">
        <f t="shared" si="38"/>
        <v/>
      </c>
      <c r="E774" s="5" t="str">
        <f t="shared" si="40"/>
        <v/>
      </c>
      <c r="F774" s="6" t="str">
        <f t="shared" si="41"/>
        <v/>
      </c>
      <c r="G774" s="7" t="str">
        <f>IFERROR(總表[[#This Row],[數量]]*總表[[#This Row],[單價]],"")</f>
        <v/>
      </c>
      <c r="H774" s="8" t="str">
        <f t="shared" si="42"/>
        <v/>
      </c>
    </row>
    <row r="775" spans="1:8" x14ac:dyDescent="0.3">
      <c r="A775" s="4" t="str">
        <f t="shared" si="39"/>
        <v/>
      </c>
      <c r="D775" s="1" t="str">
        <f t="shared" si="38"/>
        <v/>
      </c>
      <c r="E775" s="5" t="str">
        <f t="shared" si="40"/>
        <v/>
      </c>
      <c r="F775" s="6" t="str">
        <f t="shared" si="41"/>
        <v/>
      </c>
      <c r="G775" s="7" t="str">
        <f>IFERROR(總表[[#This Row],[數量]]*總表[[#This Row],[單價]],"")</f>
        <v/>
      </c>
      <c r="H775" s="8" t="str">
        <f t="shared" si="42"/>
        <v/>
      </c>
    </row>
    <row r="776" spans="1:8" x14ac:dyDescent="0.3">
      <c r="A776" s="4" t="str">
        <f t="shared" si="39"/>
        <v/>
      </c>
      <c r="D776" s="1" t="str">
        <f t="shared" si="38"/>
        <v/>
      </c>
      <c r="E776" s="5" t="str">
        <f t="shared" si="40"/>
        <v/>
      </c>
      <c r="F776" s="6" t="str">
        <f t="shared" si="41"/>
        <v/>
      </c>
      <c r="G776" s="7" t="str">
        <f>IFERROR(總表[[#This Row],[數量]]*總表[[#This Row],[單價]],"")</f>
        <v/>
      </c>
      <c r="H776" s="8" t="str">
        <f t="shared" si="42"/>
        <v/>
      </c>
    </row>
    <row r="777" spans="1:8" x14ac:dyDescent="0.3">
      <c r="A777" s="4" t="str">
        <f t="shared" si="39"/>
        <v/>
      </c>
      <c r="D777" s="1" t="str">
        <f t="shared" si="38"/>
        <v/>
      </c>
      <c r="E777" s="5" t="str">
        <f t="shared" si="40"/>
        <v/>
      </c>
      <c r="F777" s="6" t="str">
        <f t="shared" si="41"/>
        <v/>
      </c>
      <c r="G777" s="7" t="str">
        <f>IFERROR(總表[[#This Row],[數量]]*總表[[#This Row],[單價]],"")</f>
        <v/>
      </c>
      <c r="H777" s="8" t="str">
        <f t="shared" si="42"/>
        <v/>
      </c>
    </row>
    <row r="778" spans="1:8" x14ac:dyDescent="0.3">
      <c r="A778" s="4" t="str">
        <f t="shared" si="39"/>
        <v/>
      </c>
      <c r="D778" s="1" t="str">
        <f t="shared" si="38"/>
        <v/>
      </c>
      <c r="E778" s="5" t="str">
        <f t="shared" si="40"/>
        <v/>
      </c>
      <c r="F778" s="6" t="str">
        <f t="shared" si="41"/>
        <v/>
      </c>
      <c r="G778" s="7" t="str">
        <f>IFERROR(總表[[#This Row],[數量]]*總表[[#This Row],[單價]],"")</f>
        <v/>
      </c>
      <c r="H778" s="8" t="str">
        <f t="shared" si="42"/>
        <v/>
      </c>
    </row>
    <row r="779" spans="1:8" x14ac:dyDescent="0.3">
      <c r="A779" s="4" t="str">
        <f t="shared" si="39"/>
        <v/>
      </c>
      <c r="D779" s="1" t="str">
        <f t="shared" ref="D779:D842" si="43">_xlfn.IFNA(VLOOKUP(B779,$B:$G,3,0),"")</f>
        <v/>
      </c>
      <c r="E779" s="5" t="str">
        <f t="shared" si="40"/>
        <v/>
      </c>
      <c r="F779" s="6" t="str">
        <f t="shared" si="41"/>
        <v/>
      </c>
      <c r="G779" s="7" t="str">
        <f>IFERROR(總表[[#This Row],[數量]]*總表[[#This Row],[單價]],"")</f>
        <v/>
      </c>
      <c r="H779" s="8" t="str">
        <f t="shared" si="42"/>
        <v/>
      </c>
    </row>
    <row r="780" spans="1:8" x14ac:dyDescent="0.3">
      <c r="A780" s="4" t="str">
        <f t="shared" si="39"/>
        <v/>
      </c>
      <c r="D780" s="1" t="str">
        <f t="shared" si="43"/>
        <v/>
      </c>
      <c r="E780" s="5" t="str">
        <f t="shared" si="40"/>
        <v/>
      </c>
      <c r="F780" s="6" t="str">
        <f t="shared" si="41"/>
        <v/>
      </c>
      <c r="G780" s="7" t="str">
        <f>IFERROR(總表[[#This Row],[數量]]*總表[[#This Row],[單價]],"")</f>
        <v/>
      </c>
      <c r="H780" s="8" t="str">
        <f t="shared" si="42"/>
        <v/>
      </c>
    </row>
    <row r="781" spans="1:8" x14ac:dyDescent="0.3">
      <c r="A781" s="4" t="str">
        <f t="shared" si="39"/>
        <v/>
      </c>
      <c r="D781" s="1" t="str">
        <f t="shared" si="43"/>
        <v/>
      </c>
      <c r="E781" s="5" t="str">
        <f t="shared" si="40"/>
        <v/>
      </c>
      <c r="F781" s="6" t="str">
        <f t="shared" si="41"/>
        <v/>
      </c>
      <c r="G781" s="7" t="str">
        <f>IFERROR(總表[[#This Row],[數量]]*總表[[#This Row],[單價]],"")</f>
        <v/>
      </c>
      <c r="H781" s="8" t="str">
        <f t="shared" si="42"/>
        <v/>
      </c>
    </row>
    <row r="782" spans="1:8" x14ac:dyDescent="0.3">
      <c r="A782" s="4" t="str">
        <f t="shared" si="39"/>
        <v/>
      </c>
      <c r="D782" s="1" t="str">
        <f t="shared" si="43"/>
        <v/>
      </c>
      <c r="E782" s="5" t="str">
        <f t="shared" si="40"/>
        <v/>
      </c>
      <c r="F782" s="6" t="str">
        <f t="shared" si="41"/>
        <v/>
      </c>
      <c r="G782" s="7" t="str">
        <f>IFERROR(總表[[#This Row],[數量]]*總表[[#This Row],[單價]],"")</f>
        <v/>
      </c>
      <c r="H782" s="8" t="str">
        <f t="shared" si="42"/>
        <v/>
      </c>
    </row>
    <row r="783" spans="1:8" x14ac:dyDescent="0.3">
      <c r="A783" s="4" t="str">
        <f t="shared" si="39"/>
        <v/>
      </c>
      <c r="D783" s="1" t="str">
        <f t="shared" si="43"/>
        <v/>
      </c>
      <c r="E783" s="5" t="str">
        <f t="shared" si="40"/>
        <v/>
      </c>
      <c r="F783" s="6" t="str">
        <f t="shared" si="41"/>
        <v/>
      </c>
      <c r="G783" s="7" t="str">
        <f>IFERROR(總表[[#This Row],[數量]]*總表[[#This Row],[單價]],"")</f>
        <v/>
      </c>
      <c r="H783" s="8" t="str">
        <f t="shared" si="42"/>
        <v/>
      </c>
    </row>
    <row r="784" spans="1:8" x14ac:dyDescent="0.3">
      <c r="A784" s="4" t="str">
        <f t="shared" si="39"/>
        <v/>
      </c>
      <c r="D784" s="1" t="str">
        <f t="shared" si="43"/>
        <v/>
      </c>
      <c r="E784" s="5" t="str">
        <f t="shared" si="40"/>
        <v/>
      </c>
      <c r="F784" s="6" t="str">
        <f t="shared" si="41"/>
        <v/>
      </c>
      <c r="G784" s="7" t="str">
        <f>IFERROR(總表[[#This Row],[數量]]*總表[[#This Row],[單價]],"")</f>
        <v/>
      </c>
      <c r="H784" s="8" t="str">
        <f t="shared" si="42"/>
        <v/>
      </c>
    </row>
    <row r="785" spans="1:8" x14ac:dyDescent="0.3">
      <c r="A785" s="4" t="str">
        <f t="shared" si="39"/>
        <v/>
      </c>
      <c r="D785" s="1" t="str">
        <f t="shared" si="43"/>
        <v/>
      </c>
      <c r="E785" s="5" t="str">
        <f t="shared" si="40"/>
        <v/>
      </c>
      <c r="F785" s="6" t="str">
        <f t="shared" si="41"/>
        <v/>
      </c>
      <c r="G785" s="7" t="str">
        <f>IFERROR(總表[[#This Row],[數量]]*總表[[#This Row],[單價]],"")</f>
        <v/>
      </c>
      <c r="H785" s="8" t="str">
        <f t="shared" si="42"/>
        <v/>
      </c>
    </row>
    <row r="786" spans="1:8" x14ac:dyDescent="0.3">
      <c r="A786" s="4" t="str">
        <f t="shared" si="39"/>
        <v/>
      </c>
      <c r="D786" s="1" t="str">
        <f t="shared" si="43"/>
        <v/>
      </c>
      <c r="E786" s="5" t="str">
        <f t="shared" si="40"/>
        <v/>
      </c>
      <c r="F786" s="6" t="str">
        <f t="shared" si="41"/>
        <v/>
      </c>
      <c r="G786" s="7" t="str">
        <f>IFERROR(總表[[#This Row],[數量]]*總表[[#This Row],[單價]],"")</f>
        <v/>
      </c>
      <c r="H786" s="8" t="str">
        <f t="shared" si="42"/>
        <v/>
      </c>
    </row>
    <row r="787" spans="1:8" x14ac:dyDescent="0.3">
      <c r="A787" s="4" t="str">
        <f t="shared" si="39"/>
        <v/>
      </c>
      <c r="D787" s="1" t="str">
        <f t="shared" si="43"/>
        <v/>
      </c>
      <c r="E787" s="5" t="str">
        <f t="shared" si="40"/>
        <v/>
      </c>
      <c r="F787" s="6" t="str">
        <f t="shared" si="41"/>
        <v/>
      </c>
      <c r="G787" s="7" t="str">
        <f>IFERROR(總表[[#This Row],[數量]]*總表[[#This Row],[單價]],"")</f>
        <v/>
      </c>
      <c r="H787" s="8" t="str">
        <f t="shared" si="42"/>
        <v/>
      </c>
    </row>
    <row r="788" spans="1:8" x14ac:dyDescent="0.3">
      <c r="A788" s="4" t="str">
        <f t="shared" si="39"/>
        <v/>
      </c>
      <c r="D788" s="1" t="str">
        <f t="shared" si="43"/>
        <v/>
      </c>
      <c r="E788" s="5" t="str">
        <f t="shared" si="40"/>
        <v/>
      </c>
      <c r="F788" s="6" t="str">
        <f t="shared" si="41"/>
        <v/>
      </c>
      <c r="G788" s="7" t="str">
        <f>IFERROR(總表[[#This Row],[數量]]*總表[[#This Row],[單價]],"")</f>
        <v/>
      </c>
      <c r="H788" s="8" t="str">
        <f t="shared" si="42"/>
        <v/>
      </c>
    </row>
    <row r="789" spans="1:8" x14ac:dyDescent="0.3">
      <c r="A789" s="4" t="str">
        <f t="shared" si="39"/>
        <v/>
      </c>
      <c r="D789" s="1" t="str">
        <f t="shared" si="43"/>
        <v/>
      </c>
      <c r="E789" s="5" t="str">
        <f t="shared" si="40"/>
        <v/>
      </c>
      <c r="F789" s="6" t="str">
        <f t="shared" si="41"/>
        <v/>
      </c>
      <c r="G789" s="7" t="str">
        <f>IFERROR(總表[[#This Row],[數量]]*總表[[#This Row],[單價]],"")</f>
        <v/>
      </c>
      <c r="H789" s="8" t="str">
        <f t="shared" si="42"/>
        <v/>
      </c>
    </row>
    <row r="790" spans="1:8" x14ac:dyDescent="0.3">
      <c r="A790" s="4" t="str">
        <f t="shared" si="39"/>
        <v/>
      </c>
      <c r="D790" s="1" t="str">
        <f t="shared" si="43"/>
        <v/>
      </c>
      <c r="E790" s="5" t="str">
        <f t="shared" si="40"/>
        <v/>
      </c>
      <c r="F790" s="6" t="str">
        <f t="shared" si="41"/>
        <v/>
      </c>
      <c r="G790" s="7" t="str">
        <f>IFERROR(總表[[#This Row],[數量]]*總表[[#This Row],[單價]],"")</f>
        <v/>
      </c>
      <c r="H790" s="8" t="str">
        <f t="shared" si="42"/>
        <v/>
      </c>
    </row>
    <row r="791" spans="1:8" x14ac:dyDescent="0.3">
      <c r="A791" s="4" t="str">
        <f t="shared" si="39"/>
        <v/>
      </c>
      <c r="D791" s="1" t="str">
        <f t="shared" si="43"/>
        <v/>
      </c>
      <c r="E791" s="5" t="str">
        <f t="shared" si="40"/>
        <v/>
      </c>
      <c r="F791" s="6" t="str">
        <f t="shared" si="41"/>
        <v/>
      </c>
      <c r="G791" s="7" t="str">
        <f>IFERROR(總表[[#This Row],[數量]]*總表[[#This Row],[單價]],"")</f>
        <v/>
      </c>
      <c r="H791" s="8" t="str">
        <f t="shared" si="42"/>
        <v/>
      </c>
    </row>
    <row r="792" spans="1:8" x14ac:dyDescent="0.3">
      <c r="A792" s="4" t="str">
        <f t="shared" si="39"/>
        <v/>
      </c>
      <c r="D792" s="1" t="str">
        <f t="shared" si="43"/>
        <v/>
      </c>
      <c r="E792" s="5" t="str">
        <f t="shared" si="40"/>
        <v/>
      </c>
      <c r="F792" s="6" t="str">
        <f t="shared" si="41"/>
        <v/>
      </c>
      <c r="G792" s="7" t="str">
        <f>IFERROR(總表[[#This Row],[數量]]*總表[[#This Row],[單價]],"")</f>
        <v/>
      </c>
      <c r="H792" s="8" t="str">
        <f t="shared" si="42"/>
        <v/>
      </c>
    </row>
    <row r="793" spans="1:8" x14ac:dyDescent="0.3">
      <c r="A793" s="4" t="str">
        <f t="shared" si="39"/>
        <v/>
      </c>
      <c r="D793" s="1" t="str">
        <f t="shared" si="43"/>
        <v/>
      </c>
      <c r="E793" s="5" t="str">
        <f t="shared" si="40"/>
        <v/>
      </c>
      <c r="F793" s="6" t="str">
        <f t="shared" si="41"/>
        <v/>
      </c>
      <c r="G793" s="7" t="str">
        <f>IFERROR(總表[[#This Row],[數量]]*總表[[#This Row],[單價]],"")</f>
        <v/>
      </c>
      <c r="H793" s="8" t="str">
        <f t="shared" si="42"/>
        <v/>
      </c>
    </row>
    <row r="794" spans="1:8" x14ac:dyDescent="0.3">
      <c r="A794" s="4" t="str">
        <f t="shared" si="39"/>
        <v/>
      </c>
      <c r="D794" s="1" t="str">
        <f t="shared" si="43"/>
        <v/>
      </c>
      <c r="E794" s="5" t="str">
        <f t="shared" si="40"/>
        <v/>
      </c>
      <c r="F794" s="6" t="str">
        <f t="shared" si="41"/>
        <v/>
      </c>
      <c r="G794" s="7" t="str">
        <f>IFERROR(總表[[#This Row],[數量]]*總表[[#This Row],[單價]],"")</f>
        <v/>
      </c>
      <c r="H794" s="8" t="str">
        <f t="shared" si="42"/>
        <v/>
      </c>
    </row>
    <row r="795" spans="1:8" x14ac:dyDescent="0.3">
      <c r="A795" s="4" t="str">
        <f t="shared" si="39"/>
        <v/>
      </c>
      <c r="D795" s="1" t="str">
        <f t="shared" si="43"/>
        <v/>
      </c>
      <c r="E795" s="5" t="str">
        <f t="shared" si="40"/>
        <v/>
      </c>
      <c r="F795" s="6" t="str">
        <f t="shared" si="41"/>
        <v/>
      </c>
      <c r="G795" s="7" t="str">
        <f>IFERROR(總表[[#This Row],[數量]]*總表[[#This Row],[單價]],"")</f>
        <v/>
      </c>
      <c r="H795" s="8" t="str">
        <f t="shared" si="42"/>
        <v/>
      </c>
    </row>
    <row r="796" spans="1:8" x14ac:dyDescent="0.3">
      <c r="A796" s="4" t="str">
        <f t="shared" si="39"/>
        <v/>
      </c>
      <c r="D796" s="1" t="str">
        <f t="shared" si="43"/>
        <v/>
      </c>
      <c r="E796" s="5" t="str">
        <f t="shared" si="40"/>
        <v/>
      </c>
      <c r="F796" s="6" t="str">
        <f t="shared" si="41"/>
        <v/>
      </c>
      <c r="G796" s="7" t="str">
        <f>IFERROR(總表[[#This Row],[數量]]*總表[[#This Row],[單價]],"")</f>
        <v/>
      </c>
      <c r="H796" s="8" t="str">
        <f t="shared" si="42"/>
        <v/>
      </c>
    </row>
    <row r="797" spans="1:8" x14ac:dyDescent="0.3">
      <c r="A797" s="4" t="str">
        <f t="shared" si="39"/>
        <v/>
      </c>
      <c r="D797" s="1" t="str">
        <f t="shared" si="43"/>
        <v/>
      </c>
      <c r="E797" s="5" t="str">
        <f t="shared" si="40"/>
        <v/>
      </c>
      <c r="F797" s="6" t="str">
        <f t="shared" si="41"/>
        <v/>
      </c>
      <c r="G797" s="7" t="str">
        <f>IFERROR(總表[[#This Row],[數量]]*總表[[#This Row],[單價]],"")</f>
        <v/>
      </c>
      <c r="H797" s="8" t="str">
        <f t="shared" si="42"/>
        <v/>
      </c>
    </row>
    <row r="798" spans="1:8" x14ac:dyDescent="0.3">
      <c r="A798" s="4" t="str">
        <f t="shared" si="39"/>
        <v/>
      </c>
      <c r="D798" s="1" t="str">
        <f t="shared" si="43"/>
        <v/>
      </c>
      <c r="E798" s="5" t="str">
        <f t="shared" si="40"/>
        <v/>
      </c>
      <c r="F798" s="6" t="str">
        <f t="shared" si="41"/>
        <v/>
      </c>
      <c r="G798" s="7" t="str">
        <f>IFERROR(總表[[#This Row],[數量]]*總表[[#This Row],[單價]],"")</f>
        <v/>
      </c>
      <c r="H798" s="8" t="str">
        <f t="shared" si="42"/>
        <v/>
      </c>
    </row>
    <row r="799" spans="1:8" x14ac:dyDescent="0.3">
      <c r="A799" s="4" t="str">
        <f t="shared" si="39"/>
        <v/>
      </c>
      <c r="D799" s="1" t="str">
        <f t="shared" si="43"/>
        <v/>
      </c>
      <c r="E799" s="5" t="str">
        <f t="shared" si="40"/>
        <v/>
      </c>
      <c r="F799" s="6" t="str">
        <f t="shared" si="41"/>
        <v/>
      </c>
      <c r="G799" s="7" t="str">
        <f>IFERROR(總表[[#This Row],[數量]]*總表[[#This Row],[單價]],"")</f>
        <v/>
      </c>
      <c r="H799" s="8" t="str">
        <f t="shared" si="42"/>
        <v/>
      </c>
    </row>
    <row r="800" spans="1:8" x14ac:dyDescent="0.3">
      <c r="A800" s="4" t="str">
        <f t="shared" si="39"/>
        <v/>
      </c>
      <c r="D800" s="1" t="str">
        <f t="shared" si="43"/>
        <v/>
      </c>
      <c r="E800" s="5" t="str">
        <f t="shared" si="40"/>
        <v/>
      </c>
      <c r="F800" s="6" t="str">
        <f t="shared" si="41"/>
        <v/>
      </c>
      <c r="G800" s="7" t="str">
        <f>IFERROR(總表[[#This Row],[數量]]*總表[[#This Row],[單價]],"")</f>
        <v/>
      </c>
      <c r="H800" s="8" t="str">
        <f t="shared" si="42"/>
        <v/>
      </c>
    </row>
    <row r="801" spans="1:8" x14ac:dyDescent="0.3">
      <c r="A801" s="4" t="str">
        <f t="shared" si="39"/>
        <v/>
      </c>
      <c r="D801" s="1" t="str">
        <f t="shared" si="43"/>
        <v/>
      </c>
      <c r="E801" s="5" t="str">
        <f t="shared" si="40"/>
        <v/>
      </c>
      <c r="F801" s="6" t="str">
        <f t="shared" si="41"/>
        <v/>
      </c>
      <c r="G801" s="7" t="str">
        <f>IFERROR(總表[[#This Row],[數量]]*總表[[#This Row],[單價]],"")</f>
        <v/>
      </c>
      <c r="H801" s="8" t="str">
        <f t="shared" si="42"/>
        <v/>
      </c>
    </row>
    <row r="802" spans="1:8" x14ac:dyDescent="0.3">
      <c r="A802" s="4" t="str">
        <f t="shared" si="39"/>
        <v/>
      </c>
      <c r="D802" s="1" t="str">
        <f t="shared" si="43"/>
        <v/>
      </c>
      <c r="E802" s="5" t="str">
        <f t="shared" si="40"/>
        <v/>
      </c>
      <c r="F802" s="6" t="str">
        <f t="shared" si="41"/>
        <v/>
      </c>
      <c r="G802" s="7" t="str">
        <f>IFERROR(總表[[#This Row],[數量]]*總表[[#This Row],[單價]],"")</f>
        <v/>
      </c>
      <c r="H802" s="8" t="str">
        <f t="shared" si="42"/>
        <v/>
      </c>
    </row>
    <row r="803" spans="1:8" x14ac:dyDescent="0.3">
      <c r="A803" s="4" t="str">
        <f t="shared" si="39"/>
        <v/>
      </c>
      <c r="D803" s="1" t="str">
        <f t="shared" si="43"/>
        <v/>
      </c>
      <c r="E803" s="5" t="str">
        <f t="shared" si="40"/>
        <v/>
      </c>
      <c r="F803" s="6" t="str">
        <f t="shared" si="41"/>
        <v/>
      </c>
      <c r="G803" s="7" t="str">
        <f>IFERROR(總表[[#This Row],[數量]]*總表[[#This Row],[單價]],"")</f>
        <v/>
      </c>
      <c r="H803" s="8" t="str">
        <f t="shared" si="42"/>
        <v/>
      </c>
    </row>
    <row r="804" spans="1:8" x14ac:dyDescent="0.3">
      <c r="A804" s="4" t="str">
        <f t="shared" si="39"/>
        <v/>
      </c>
      <c r="D804" s="1" t="str">
        <f t="shared" si="43"/>
        <v/>
      </c>
      <c r="E804" s="5" t="str">
        <f t="shared" si="40"/>
        <v/>
      </c>
      <c r="F804" s="6" t="str">
        <f t="shared" si="41"/>
        <v/>
      </c>
      <c r="G804" s="7" t="str">
        <f>IFERROR(總表[[#This Row],[數量]]*總表[[#This Row],[單價]],"")</f>
        <v/>
      </c>
      <c r="H804" s="8" t="str">
        <f t="shared" si="42"/>
        <v/>
      </c>
    </row>
    <row r="805" spans="1:8" x14ac:dyDescent="0.3">
      <c r="A805" s="4" t="str">
        <f t="shared" si="39"/>
        <v/>
      </c>
      <c r="D805" s="1" t="str">
        <f t="shared" si="43"/>
        <v/>
      </c>
      <c r="E805" s="5" t="str">
        <f t="shared" si="40"/>
        <v/>
      </c>
      <c r="F805" s="6" t="str">
        <f t="shared" si="41"/>
        <v/>
      </c>
      <c r="G805" s="7" t="str">
        <f>IFERROR(總表[[#This Row],[數量]]*總表[[#This Row],[單價]],"")</f>
        <v/>
      </c>
      <c r="H805" s="8" t="str">
        <f t="shared" si="42"/>
        <v/>
      </c>
    </row>
    <row r="806" spans="1:8" x14ac:dyDescent="0.3">
      <c r="A806" s="4" t="str">
        <f t="shared" si="39"/>
        <v/>
      </c>
      <c r="D806" s="1" t="str">
        <f t="shared" si="43"/>
        <v/>
      </c>
      <c r="E806" s="5" t="str">
        <f t="shared" si="40"/>
        <v/>
      </c>
      <c r="F806" s="6" t="str">
        <f t="shared" si="41"/>
        <v/>
      </c>
      <c r="G806" s="7" t="str">
        <f>IFERROR(總表[[#This Row],[數量]]*總表[[#This Row],[單價]],"")</f>
        <v/>
      </c>
      <c r="H806" s="8" t="str">
        <f t="shared" si="42"/>
        <v/>
      </c>
    </row>
    <row r="807" spans="1:8" x14ac:dyDescent="0.3">
      <c r="A807" s="4" t="str">
        <f t="shared" si="39"/>
        <v/>
      </c>
      <c r="D807" s="1" t="str">
        <f t="shared" si="43"/>
        <v/>
      </c>
      <c r="E807" s="5" t="str">
        <f t="shared" si="40"/>
        <v/>
      </c>
      <c r="F807" s="6" t="str">
        <f t="shared" si="41"/>
        <v/>
      </c>
      <c r="G807" s="7" t="str">
        <f>IFERROR(總表[[#This Row],[數量]]*總表[[#This Row],[單價]],"")</f>
        <v/>
      </c>
      <c r="H807" s="8" t="str">
        <f t="shared" si="42"/>
        <v/>
      </c>
    </row>
    <row r="808" spans="1:8" x14ac:dyDescent="0.3">
      <c r="A808" s="4" t="str">
        <f t="shared" si="39"/>
        <v/>
      </c>
      <c r="D808" s="1" t="str">
        <f t="shared" si="43"/>
        <v/>
      </c>
      <c r="E808" s="5" t="str">
        <f t="shared" si="40"/>
        <v/>
      </c>
      <c r="F808" s="6" t="str">
        <f t="shared" si="41"/>
        <v/>
      </c>
      <c r="G808" s="7" t="str">
        <f>IFERROR(總表[[#This Row],[數量]]*總表[[#This Row],[單價]],"")</f>
        <v/>
      </c>
      <c r="H808" s="8" t="str">
        <f t="shared" si="42"/>
        <v/>
      </c>
    </row>
    <row r="809" spans="1:8" x14ac:dyDescent="0.3">
      <c r="A809" s="4" t="str">
        <f t="shared" si="39"/>
        <v/>
      </c>
      <c r="D809" s="1" t="str">
        <f t="shared" si="43"/>
        <v/>
      </c>
      <c r="E809" s="5" t="str">
        <f t="shared" si="40"/>
        <v/>
      </c>
      <c r="F809" s="6" t="str">
        <f t="shared" si="41"/>
        <v/>
      </c>
      <c r="G809" s="7" t="str">
        <f>IFERROR(總表[[#This Row],[數量]]*總表[[#This Row],[單價]],"")</f>
        <v/>
      </c>
      <c r="H809" s="8" t="str">
        <f t="shared" si="42"/>
        <v/>
      </c>
    </row>
    <row r="810" spans="1:8" x14ac:dyDescent="0.3">
      <c r="A810" s="4" t="str">
        <f t="shared" si="39"/>
        <v/>
      </c>
      <c r="D810" s="1" t="str">
        <f t="shared" si="43"/>
        <v/>
      </c>
      <c r="E810" s="5" t="str">
        <f t="shared" si="40"/>
        <v/>
      </c>
      <c r="F810" s="6" t="str">
        <f t="shared" si="41"/>
        <v/>
      </c>
      <c r="G810" s="7" t="str">
        <f>IFERROR(總表[[#This Row],[數量]]*總表[[#This Row],[單價]],"")</f>
        <v/>
      </c>
      <c r="H810" s="8" t="str">
        <f t="shared" si="42"/>
        <v/>
      </c>
    </row>
    <row r="811" spans="1:8" x14ac:dyDescent="0.3">
      <c r="A811" s="4" t="str">
        <f t="shared" si="39"/>
        <v/>
      </c>
      <c r="D811" s="1" t="str">
        <f t="shared" si="43"/>
        <v/>
      </c>
      <c r="E811" s="5" t="str">
        <f t="shared" si="40"/>
        <v/>
      </c>
      <c r="F811" s="6" t="str">
        <f t="shared" si="41"/>
        <v/>
      </c>
      <c r="G811" s="7" t="str">
        <f>IFERROR(總表[[#This Row],[數量]]*總表[[#This Row],[單價]],"")</f>
        <v/>
      </c>
      <c r="H811" s="8" t="str">
        <f t="shared" si="42"/>
        <v/>
      </c>
    </row>
    <row r="812" spans="1:8" x14ac:dyDescent="0.3">
      <c r="A812" s="4" t="str">
        <f t="shared" si="39"/>
        <v/>
      </c>
      <c r="D812" s="1" t="str">
        <f t="shared" si="43"/>
        <v/>
      </c>
      <c r="E812" s="5" t="str">
        <f t="shared" si="40"/>
        <v/>
      </c>
      <c r="F812" s="6" t="str">
        <f t="shared" si="41"/>
        <v/>
      </c>
      <c r="G812" s="7" t="str">
        <f>IFERROR(總表[[#This Row],[數量]]*總表[[#This Row],[單價]],"")</f>
        <v/>
      </c>
      <c r="H812" s="8" t="str">
        <f t="shared" si="42"/>
        <v/>
      </c>
    </row>
    <row r="813" spans="1:8" x14ac:dyDescent="0.3">
      <c r="A813" s="4" t="str">
        <f t="shared" si="39"/>
        <v/>
      </c>
      <c r="D813" s="1" t="str">
        <f t="shared" si="43"/>
        <v/>
      </c>
      <c r="E813" s="5" t="str">
        <f t="shared" si="40"/>
        <v/>
      </c>
      <c r="F813" s="6" t="str">
        <f t="shared" si="41"/>
        <v/>
      </c>
      <c r="G813" s="7" t="str">
        <f>IFERROR(總表[[#This Row],[數量]]*總表[[#This Row],[單價]],"")</f>
        <v/>
      </c>
      <c r="H813" s="8" t="str">
        <f t="shared" si="42"/>
        <v/>
      </c>
    </row>
    <row r="814" spans="1:8" x14ac:dyDescent="0.3">
      <c r="A814" s="4" t="str">
        <f t="shared" si="39"/>
        <v/>
      </c>
      <c r="D814" s="1" t="str">
        <f t="shared" si="43"/>
        <v/>
      </c>
      <c r="E814" s="5" t="str">
        <f t="shared" si="40"/>
        <v/>
      </c>
      <c r="F814" s="6" t="str">
        <f t="shared" si="41"/>
        <v/>
      </c>
      <c r="G814" s="7" t="str">
        <f>IFERROR(總表[[#This Row],[數量]]*總表[[#This Row],[單價]],"")</f>
        <v/>
      </c>
      <c r="H814" s="8" t="str">
        <f t="shared" si="42"/>
        <v/>
      </c>
    </row>
    <row r="815" spans="1:8" x14ac:dyDescent="0.3">
      <c r="A815" s="4" t="str">
        <f t="shared" si="39"/>
        <v/>
      </c>
      <c r="D815" s="1" t="str">
        <f t="shared" si="43"/>
        <v/>
      </c>
      <c r="E815" s="5" t="str">
        <f t="shared" si="40"/>
        <v/>
      </c>
      <c r="F815" s="6" t="str">
        <f t="shared" si="41"/>
        <v/>
      </c>
      <c r="G815" s="7" t="str">
        <f>IFERROR(總表[[#This Row],[數量]]*總表[[#This Row],[單價]],"")</f>
        <v/>
      </c>
      <c r="H815" s="8" t="str">
        <f t="shared" si="42"/>
        <v/>
      </c>
    </row>
    <row r="816" spans="1:8" x14ac:dyDescent="0.3">
      <c r="A816" s="4" t="str">
        <f t="shared" si="39"/>
        <v/>
      </c>
      <c r="D816" s="1" t="str">
        <f t="shared" si="43"/>
        <v/>
      </c>
      <c r="E816" s="5" t="str">
        <f t="shared" si="40"/>
        <v/>
      </c>
      <c r="F816" s="6" t="str">
        <f t="shared" si="41"/>
        <v/>
      </c>
      <c r="G816" s="7" t="str">
        <f>IFERROR(總表[[#This Row],[數量]]*總表[[#This Row],[單價]],"")</f>
        <v/>
      </c>
      <c r="H816" s="8" t="str">
        <f t="shared" si="42"/>
        <v/>
      </c>
    </row>
    <row r="817" spans="1:8" x14ac:dyDescent="0.3">
      <c r="A817" s="4" t="str">
        <f t="shared" si="39"/>
        <v/>
      </c>
      <c r="D817" s="1" t="str">
        <f t="shared" si="43"/>
        <v/>
      </c>
      <c r="E817" s="5" t="str">
        <f t="shared" si="40"/>
        <v/>
      </c>
      <c r="F817" s="6" t="str">
        <f t="shared" si="41"/>
        <v/>
      </c>
      <c r="G817" s="7" t="str">
        <f>IFERROR(總表[[#This Row],[數量]]*總表[[#This Row],[單價]],"")</f>
        <v/>
      </c>
      <c r="H817" s="8" t="str">
        <f t="shared" si="42"/>
        <v/>
      </c>
    </row>
    <row r="818" spans="1:8" x14ac:dyDescent="0.3">
      <c r="A818" s="4" t="str">
        <f t="shared" si="39"/>
        <v/>
      </c>
      <c r="D818" s="1" t="str">
        <f t="shared" si="43"/>
        <v/>
      </c>
      <c r="E818" s="5" t="str">
        <f t="shared" si="40"/>
        <v/>
      </c>
      <c r="F818" s="6" t="str">
        <f t="shared" si="41"/>
        <v/>
      </c>
      <c r="G818" s="7" t="str">
        <f>IFERROR(總表[[#This Row],[數量]]*總表[[#This Row],[單價]],"")</f>
        <v/>
      </c>
      <c r="H818" s="8" t="str">
        <f t="shared" si="42"/>
        <v/>
      </c>
    </row>
    <row r="819" spans="1:8" x14ac:dyDescent="0.3">
      <c r="A819" s="4" t="str">
        <f t="shared" si="39"/>
        <v/>
      </c>
      <c r="D819" s="1" t="str">
        <f t="shared" si="43"/>
        <v/>
      </c>
      <c r="E819" s="5" t="str">
        <f t="shared" si="40"/>
        <v/>
      </c>
      <c r="F819" s="6" t="str">
        <f t="shared" si="41"/>
        <v/>
      </c>
      <c r="G819" s="7" t="str">
        <f>IFERROR(總表[[#This Row],[數量]]*總表[[#This Row],[單價]],"")</f>
        <v/>
      </c>
      <c r="H819" s="8" t="str">
        <f t="shared" si="42"/>
        <v/>
      </c>
    </row>
    <row r="820" spans="1:8" x14ac:dyDescent="0.3">
      <c r="A820" s="4" t="str">
        <f t="shared" si="39"/>
        <v/>
      </c>
      <c r="D820" s="1" t="str">
        <f t="shared" si="43"/>
        <v/>
      </c>
      <c r="E820" s="5" t="str">
        <f t="shared" si="40"/>
        <v/>
      </c>
      <c r="F820" s="6" t="str">
        <f t="shared" si="41"/>
        <v/>
      </c>
      <c r="G820" s="7" t="str">
        <f>IFERROR(總表[[#This Row],[數量]]*總表[[#This Row],[單價]],"")</f>
        <v/>
      </c>
      <c r="H820" s="8" t="str">
        <f t="shared" si="42"/>
        <v/>
      </c>
    </row>
    <row r="821" spans="1:8" x14ac:dyDescent="0.3">
      <c r="A821" s="4" t="str">
        <f t="shared" si="39"/>
        <v/>
      </c>
      <c r="D821" s="1" t="str">
        <f t="shared" si="43"/>
        <v/>
      </c>
      <c r="E821" s="5" t="str">
        <f t="shared" si="40"/>
        <v/>
      </c>
      <c r="F821" s="6" t="str">
        <f t="shared" si="41"/>
        <v/>
      </c>
      <c r="G821" s="7" t="str">
        <f>IFERROR(總表[[#This Row],[數量]]*總表[[#This Row],[單價]],"")</f>
        <v/>
      </c>
      <c r="H821" s="8" t="str">
        <f t="shared" si="42"/>
        <v/>
      </c>
    </row>
    <row r="822" spans="1:8" x14ac:dyDescent="0.3">
      <c r="A822" s="4" t="str">
        <f t="shared" si="39"/>
        <v/>
      </c>
      <c r="D822" s="1" t="str">
        <f t="shared" si="43"/>
        <v/>
      </c>
      <c r="E822" s="5" t="str">
        <f t="shared" si="40"/>
        <v/>
      </c>
      <c r="F822" s="6" t="str">
        <f t="shared" si="41"/>
        <v/>
      </c>
      <c r="G822" s="7" t="str">
        <f>IFERROR(總表[[#This Row],[數量]]*總表[[#This Row],[單價]],"")</f>
        <v/>
      </c>
      <c r="H822" s="8" t="str">
        <f t="shared" si="42"/>
        <v/>
      </c>
    </row>
    <row r="823" spans="1:8" x14ac:dyDescent="0.3">
      <c r="A823" s="4" t="str">
        <f t="shared" si="39"/>
        <v/>
      </c>
      <c r="D823" s="1" t="str">
        <f t="shared" si="43"/>
        <v/>
      </c>
      <c r="E823" s="5" t="str">
        <f t="shared" si="40"/>
        <v/>
      </c>
      <c r="F823" s="6" t="str">
        <f t="shared" si="41"/>
        <v/>
      </c>
      <c r="G823" s="7" t="str">
        <f>IFERROR(總表[[#This Row],[數量]]*總表[[#This Row],[單價]],"")</f>
        <v/>
      </c>
      <c r="H823" s="8" t="str">
        <f t="shared" si="42"/>
        <v/>
      </c>
    </row>
    <row r="824" spans="1:8" x14ac:dyDescent="0.3">
      <c r="A824" s="4" t="str">
        <f t="shared" si="39"/>
        <v/>
      </c>
      <c r="D824" s="1" t="str">
        <f t="shared" si="43"/>
        <v/>
      </c>
      <c r="E824" s="5" t="str">
        <f t="shared" si="40"/>
        <v/>
      </c>
      <c r="F824" s="6" t="str">
        <f t="shared" si="41"/>
        <v/>
      </c>
      <c r="G824" s="7" t="str">
        <f>IFERROR(總表[[#This Row],[數量]]*總表[[#This Row],[單價]],"")</f>
        <v/>
      </c>
      <c r="H824" s="8" t="str">
        <f t="shared" si="42"/>
        <v/>
      </c>
    </row>
    <row r="825" spans="1:8" x14ac:dyDescent="0.3">
      <c r="A825" s="4" t="str">
        <f t="shared" si="39"/>
        <v/>
      </c>
      <c r="D825" s="1" t="str">
        <f t="shared" si="43"/>
        <v/>
      </c>
      <c r="E825" s="5" t="str">
        <f t="shared" si="40"/>
        <v/>
      </c>
      <c r="F825" s="6" t="str">
        <f t="shared" si="41"/>
        <v/>
      </c>
      <c r="G825" s="7" t="str">
        <f>IFERROR(總表[[#This Row],[數量]]*總表[[#This Row],[單價]],"")</f>
        <v/>
      </c>
      <c r="H825" s="8" t="str">
        <f t="shared" si="42"/>
        <v/>
      </c>
    </row>
    <row r="826" spans="1:8" x14ac:dyDescent="0.3">
      <c r="A826" s="4" t="str">
        <f t="shared" si="39"/>
        <v/>
      </c>
      <c r="D826" s="1" t="str">
        <f t="shared" si="43"/>
        <v/>
      </c>
      <c r="E826" s="5" t="str">
        <f t="shared" si="40"/>
        <v/>
      </c>
      <c r="F826" s="6" t="str">
        <f t="shared" si="41"/>
        <v/>
      </c>
      <c r="G826" s="7" t="str">
        <f>IFERROR(總表[[#This Row],[數量]]*總表[[#This Row],[單價]],"")</f>
        <v/>
      </c>
      <c r="H826" s="8" t="str">
        <f t="shared" si="42"/>
        <v/>
      </c>
    </row>
    <row r="827" spans="1:8" x14ac:dyDescent="0.3">
      <c r="A827" s="4" t="str">
        <f t="shared" si="39"/>
        <v/>
      </c>
      <c r="D827" s="1" t="str">
        <f t="shared" si="43"/>
        <v/>
      </c>
      <c r="E827" s="5" t="str">
        <f t="shared" si="40"/>
        <v/>
      </c>
      <c r="F827" s="6" t="str">
        <f t="shared" si="41"/>
        <v/>
      </c>
      <c r="G827" s="7" t="str">
        <f>IFERROR(總表[[#This Row],[數量]]*總表[[#This Row],[單價]],"")</f>
        <v/>
      </c>
      <c r="H827" s="8" t="str">
        <f t="shared" si="42"/>
        <v/>
      </c>
    </row>
    <row r="828" spans="1:8" x14ac:dyDescent="0.3">
      <c r="A828" s="4" t="str">
        <f t="shared" si="39"/>
        <v/>
      </c>
      <c r="D828" s="1" t="str">
        <f t="shared" si="43"/>
        <v/>
      </c>
      <c r="E828" s="5" t="str">
        <f t="shared" si="40"/>
        <v/>
      </c>
      <c r="F828" s="6" t="str">
        <f t="shared" si="41"/>
        <v/>
      </c>
      <c r="G828" s="7" t="str">
        <f>IFERROR(總表[[#This Row],[數量]]*總表[[#This Row],[單價]],"")</f>
        <v/>
      </c>
      <c r="H828" s="8" t="str">
        <f t="shared" si="42"/>
        <v/>
      </c>
    </row>
    <row r="829" spans="1:8" x14ac:dyDescent="0.3">
      <c r="A829" s="4" t="str">
        <f t="shared" si="39"/>
        <v/>
      </c>
      <c r="D829" s="1" t="str">
        <f t="shared" si="43"/>
        <v/>
      </c>
      <c r="E829" s="5" t="str">
        <f t="shared" si="40"/>
        <v/>
      </c>
      <c r="F829" s="6" t="str">
        <f t="shared" si="41"/>
        <v/>
      </c>
      <c r="G829" s="7" t="str">
        <f>IFERROR(總表[[#This Row],[數量]]*總表[[#This Row],[單價]],"")</f>
        <v/>
      </c>
      <c r="H829" s="8" t="str">
        <f t="shared" si="42"/>
        <v/>
      </c>
    </row>
    <row r="830" spans="1:8" x14ac:dyDescent="0.3">
      <c r="A830" s="4" t="str">
        <f t="shared" si="39"/>
        <v/>
      </c>
      <c r="D830" s="1" t="str">
        <f t="shared" si="43"/>
        <v/>
      </c>
      <c r="E830" s="5" t="str">
        <f t="shared" si="40"/>
        <v/>
      </c>
      <c r="F830" s="6" t="str">
        <f t="shared" si="41"/>
        <v/>
      </c>
      <c r="G830" s="7" t="str">
        <f>IFERROR(總表[[#This Row],[數量]]*總表[[#This Row],[單價]],"")</f>
        <v/>
      </c>
      <c r="H830" s="8" t="str">
        <f t="shared" si="42"/>
        <v/>
      </c>
    </row>
    <row r="831" spans="1:8" x14ac:dyDescent="0.3">
      <c r="A831" s="4" t="str">
        <f t="shared" si="39"/>
        <v/>
      </c>
      <c r="D831" s="1" t="str">
        <f t="shared" si="43"/>
        <v/>
      </c>
      <c r="E831" s="5" t="str">
        <f t="shared" si="40"/>
        <v/>
      </c>
      <c r="F831" s="6" t="str">
        <f t="shared" si="41"/>
        <v/>
      </c>
      <c r="G831" s="7" t="str">
        <f>IFERROR(總表[[#This Row],[數量]]*總表[[#This Row],[單價]],"")</f>
        <v/>
      </c>
      <c r="H831" s="8" t="str">
        <f t="shared" si="42"/>
        <v/>
      </c>
    </row>
    <row r="832" spans="1:8" x14ac:dyDescent="0.3">
      <c r="A832" s="4" t="str">
        <f t="shared" si="39"/>
        <v/>
      </c>
      <c r="D832" s="1" t="str">
        <f t="shared" si="43"/>
        <v/>
      </c>
      <c r="E832" s="5" t="str">
        <f t="shared" si="40"/>
        <v/>
      </c>
      <c r="F832" s="6" t="str">
        <f t="shared" si="41"/>
        <v/>
      </c>
      <c r="G832" s="7" t="str">
        <f>IFERROR(總表[[#This Row],[數量]]*總表[[#This Row],[單價]],"")</f>
        <v/>
      </c>
      <c r="H832" s="8" t="str">
        <f t="shared" si="42"/>
        <v/>
      </c>
    </row>
    <row r="833" spans="1:8" x14ac:dyDescent="0.3">
      <c r="A833" s="4" t="str">
        <f t="shared" si="39"/>
        <v/>
      </c>
      <c r="D833" s="1" t="str">
        <f t="shared" si="43"/>
        <v/>
      </c>
      <c r="E833" s="5" t="str">
        <f t="shared" si="40"/>
        <v/>
      </c>
      <c r="F833" s="6" t="str">
        <f t="shared" si="41"/>
        <v/>
      </c>
      <c r="G833" s="7" t="str">
        <f>IFERROR(總表[[#This Row],[數量]]*總表[[#This Row],[單價]],"")</f>
        <v/>
      </c>
      <c r="H833" s="8" t="str">
        <f t="shared" si="42"/>
        <v/>
      </c>
    </row>
    <row r="834" spans="1:8" x14ac:dyDescent="0.3">
      <c r="A834" s="4" t="str">
        <f t="shared" ref="A834:A897" si="44">IF(B834="","",A833)</f>
        <v/>
      </c>
      <c r="D834" s="1" t="str">
        <f t="shared" si="43"/>
        <v/>
      </c>
      <c r="E834" s="5" t="str">
        <f t="shared" ref="E834:E897" si="45">_xlfn.IFNA(VLOOKUP(B834,$B:$G,4,0),"")</f>
        <v/>
      </c>
      <c r="F834" s="6" t="str">
        <f t="shared" ref="F834:F897" si="46">_xlfn.IFNA(VLOOKUP(B834,$B:$G,5,0),"")</f>
        <v/>
      </c>
      <c r="G834" s="7" t="str">
        <f>IFERROR(總表[[#This Row],[數量]]*總表[[#This Row],[單價]],"")</f>
        <v/>
      </c>
      <c r="H834" s="8" t="str">
        <f t="shared" ref="H834:H897" si="47">IF(A834&lt;&gt;A833,SUMIF(A:A, A834, G:G),"")</f>
        <v/>
      </c>
    </row>
    <row r="835" spans="1:8" x14ac:dyDescent="0.3">
      <c r="A835" s="4" t="str">
        <f t="shared" si="44"/>
        <v/>
      </c>
      <c r="D835" s="1" t="str">
        <f t="shared" si="43"/>
        <v/>
      </c>
      <c r="E835" s="5" t="str">
        <f t="shared" si="45"/>
        <v/>
      </c>
      <c r="F835" s="6" t="str">
        <f t="shared" si="46"/>
        <v/>
      </c>
      <c r="G835" s="7" t="str">
        <f>IFERROR(總表[[#This Row],[數量]]*總表[[#This Row],[單價]],"")</f>
        <v/>
      </c>
      <c r="H835" s="8" t="str">
        <f t="shared" si="47"/>
        <v/>
      </c>
    </row>
    <row r="836" spans="1:8" x14ac:dyDescent="0.3">
      <c r="A836" s="4" t="str">
        <f t="shared" si="44"/>
        <v/>
      </c>
      <c r="D836" s="1" t="str">
        <f t="shared" si="43"/>
        <v/>
      </c>
      <c r="E836" s="5" t="str">
        <f t="shared" si="45"/>
        <v/>
      </c>
      <c r="F836" s="6" t="str">
        <f t="shared" si="46"/>
        <v/>
      </c>
      <c r="G836" s="7" t="str">
        <f>IFERROR(總表[[#This Row],[數量]]*總表[[#This Row],[單價]],"")</f>
        <v/>
      </c>
      <c r="H836" s="8" t="str">
        <f t="shared" si="47"/>
        <v/>
      </c>
    </row>
    <row r="837" spans="1:8" x14ac:dyDescent="0.3">
      <c r="A837" s="4" t="str">
        <f t="shared" si="44"/>
        <v/>
      </c>
      <c r="D837" s="1" t="str">
        <f t="shared" si="43"/>
        <v/>
      </c>
      <c r="E837" s="5" t="str">
        <f t="shared" si="45"/>
        <v/>
      </c>
      <c r="F837" s="6" t="str">
        <f t="shared" si="46"/>
        <v/>
      </c>
      <c r="G837" s="7" t="str">
        <f>IFERROR(總表[[#This Row],[數量]]*總表[[#This Row],[單價]],"")</f>
        <v/>
      </c>
      <c r="H837" s="8" t="str">
        <f t="shared" si="47"/>
        <v/>
      </c>
    </row>
    <row r="838" spans="1:8" x14ac:dyDescent="0.3">
      <c r="A838" s="4" t="str">
        <f t="shared" si="44"/>
        <v/>
      </c>
      <c r="D838" s="1" t="str">
        <f t="shared" si="43"/>
        <v/>
      </c>
      <c r="E838" s="5" t="str">
        <f t="shared" si="45"/>
        <v/>
      </c>
      <c r="F838" s="6" t="str">
        <f t="shared" si="46"/>
        <v/>
      </c>
      <c r="G838" s="7" t="str">
        <f>IFERROR(總表[[#This Row],[數量]]*總表[[#This Row],[單價]],"")</f>
        <v/>
      </c>
      <c r="H838" s="8" t="str">
        <f t="shared" si="47"/>
        <v/>
      </c>
    </row>
    <row r="839" spans="1:8" x14ac:dyDescent="0.3">
      <c r="A839" s="4" t="str">
        <f t="shared" si="44"/>
        <v/>
      </c>
      <c r="D839" s="1" t="str">
        <f t="shared" si="43"/>
        <v/>
      </c>
      <c r="E839" s="5" t="str">
        <f t="shared" si="45"/>
        <v/>
      </c>
      <c r="F839" s="6" t="str">
        <f t="shared" si="46"/>
        <v/>
      </c>
      <c r="G839" s="7" t="str">
        <f>IFERROR(總表[[#This Row],[數量]]*總表[[#This Row],[單價]],"")</f>
        <v/>
      </c>
      <c r="H839" s="8" t="str">
        <f t="shared" si="47"/>
        <v/>
      </c>
    </row>
    <row r="840" spans="1:8" x14ac:dyDescent="0.3">
      <c r="A840" s="4" t="str">
        <f t="shared" si="44"/>
        <v/>
      </c>
      <c r="D840" s="1" t="str">
        <f t="shared" si="43"/>
        <v/>
      </c>
      <c r="E840" s="5" t="str">
        <f t="shared" si="45"/>
        <v/>
      </c>
      <c r="F840" s="6" t="str">
        <f t="shared" si="46"/>
        <v/>
      </c>
      <c r="G840" s="7" t="str">
        <f>IFERROR(總表[[#This Row],[數量]]*總表[[#This Row],[單價]],"")</f>
        <v/>
      </c>
      <c r="H840" s="8" t="str">
        <f t="shared" si="47"/>
        <v/>
      </c>
    </row>
    <row r="841" spans="1:8" x14ac:dyDescent="0.3">
      <c r="A841" s="4" t="str">
        <f t="shared" si="44"/>
        <v/>
      </c>
      <c r="D841" s="1" t="str">
        <f t="shared" si="43"/>
        <v/>
      </c>
      <c r="E841" s="5" t="str">
        <f t="shared" si="45"/>
        <v/>
      </c>
      <c r="F841" s="6" t="str">
        <f t="shared" si="46"/>
        <v/>
      </c>
      <c r="G841" s="7" t="str">
        <f>IFERROR(總表[[#This Row],[數量]]*總表[[#This Row],[單價]],"")</f>
        <v/>
      </c>
      <c r="H841" s="8" t="str">
        <f t="shared" si="47"/>
        <v/>
      </c>
    </row>
    <row r="842" spans="1:8" x14ac:dyDescent="0.3">
      <c r="A842" s="4" t="str">
        <f t="shared" si="44"/>
        <v/>
      </c>
      <c r="D842" s="1" t="str">
        <f t="shared" si="43"/>
        <v/>
      </c>
      <c r="E842" s="5" t="str">
        <f t="shared" si="45"/>
        <v/>
      </c>
      <c r="F842" s="6" t="str">
        <f t="shared" si="46"/>
        <v/>
      </c>
      <c r="G842" s="7" t="str">
        <f>IFERROR(總表[[#This Row],[數量]]*總表[[#This Row],[單價]],"")</f>
        <v/>
      </c>
      <c r="H842" s="8" t="str">
        <f t="shared" si="47"/>
        <v/>
      </c>
    </row>
    <row r="843" spans="1:8" x14ac:dyDescent="0.3">
      <c r="A843" s="4" t="str">
        <f t="shared" si="44"/>
        <v/>
      </c>
      <c r="D843" s="1" t="str">
        <f t="shared" ref="D843:D906" si="48">_xlfn.IFNA(VLOOKUP(B843,$B:$G,3,0),"")</f>
        <v/>
      </c>
      <c r="E843" s="5" t="str">
        <f t="shared" si="45"/>
        <v/>
      </c>
      <c r="F843" s="6" t="str">
        <f t="shared" si="46"/>
        <v/>
      </c>
      <c r="G843" s="7" t="str">
        <f>IFERROR(總表[[#This Row],[數量]]*總表[[#This Row],[單價]],"")</f>
        <v/>
      </c>
      <c r="H843" s="8" t="str">
        <f t="shared" si="47"/>
        <v/>
      </c>
    </row>
    <row r="844" spans="1:8" x14ac:dyDescent="0.3">
      <c r="A844" s="4" t="str">
        <f t="shared" si="44"/>
        <v/>
      </c>
      <c r="D844" s="1" t="str">
        <f t="shared" si="48"/>
        <v/>
      </c>
      <c r="E844" s="5" t="str">
        <f t="shared" si="45"/>
        <v/>
      </c>
      <c r="F844" s="6" t="str">
        <f t="shared" si="46"/>
        <v/>
      </c>
      <c r="G844" s="7" t="str">
        <f>IFERROR(總表[[#This Row],[數量]]*總表[[#This Row],[單價]],"")</f>
        <v/>
      </c>
      <c r="H844" s="8" t="str">
        <f t="shared" si="47"/>
        <v/>
      </c>
    </row>
    <row r="845" spans="1:8" x14ac:dyDescent="0.3">
      <c r="A845" s="4" t="str">
        <f t="shared" si="44"/>
        <v/>
      </c>
      <c r="D845" s="1" t="str">
        <f t="shared" si="48"/>
        <v/>
      </c>
      <c r="E845" s="5" t="str">
        <f t="shared" si="45"/>
        <v/>
      </c>
      <c r="F845" s="6" t="str">
        <f t="shared" si="46"/>
        <v/>
      </c>
      <c r="G845" s="7" t="str">
        <f>IFERROR(總表[[#This Row],[數量]]*總表[[#This Row],[單價]],"")</f>
        <v/>
      </c>
      <c r="H845" s="8" t="str">
        <f t="shared" si="47"/>
        <v/>
      </c>
    </row>
    <row r="846" spans="1:8" x14ac:dyDescent="0.3">
      <c r="A846" s="4" t="str">
        <f t="shared" si="44"/>
        <v/>
      </c>
      <c r="D846" s="1" t="str">
        <f t="shared" si="48"/>
        <v/>
      </c>
      <c r="E846" s="5" t="str">
        <f t="shared" si="45"/>
        <v/>
      </c>
      <c r="F846" s="6" t="str">
        <f t="shared" si="46"/>
        <v/>
      </c>
      <c r="G846" s="7" t="str">
        <f>IFERROR(總表[[#This Row],[數量]]*總表[[#This Row],[單價]],"")</f>
        <v/>
      </c>
      <c r="H846" s="8" t="str">
        <f t="shared" si="47"/>
        <v/>
      </c>
    </row>
    <row r="847" spans="1:8" x14ac:dyDescent="0.3">
      <c r="A847" s="4" t="str">
        <f t="shared" si="44"/>
        <v/>
      </c>
      <c r="D847" s="1" t="str">
        <f t="shared" si="48"/>
        <v/>
      </c>
      <c r="E847" s="5" t="str">
        <f t="shared" si="45"/>
        <v/>
      </c>
      <c r="F847" s="6" t="str">
        <f t="shared" si="46"/>
        <v/>
      </c>
      <c r="G847" s="7" t="str">
        <f>IFERROR(總表[[#This Row],[數量]]*總表[[#This Row],[單價]],"")</f>
        <v/>
      </c>
      <c r="H847" s="8" t="str">
        <f t="shared" si="47"/>
        <v/>
      </c>
    </row>
    <row r="848" spans="1:8" x14ac:dyDescent="0.3">
      <c r="A848" s="4" t="str">
        <f t="shared" si="44"/>
        <v/>
      </c>
      <c r="D848" s="1" t="str">
        <f t="shared" si="48"/>
        <v/>
      </c>
      <c r="E848" s="5" t="str">
        <f t="shared" si="45"/>
        <v/>
      </c>
      <c r="F848" s="6" t="str">
        <f t="shared" si="46"/>
        <v/>
      </c>
      <c r="G848" s="7" t="str">
        <f>IFERROR(總表[[#This Row],[數量]]*總表[[#This Row],[單價]],"")</f>
        <v/>
      </c>
      <c r="H848" s="8" t="str">
        <f t="shared" si="47"/>
        <v/>
      </c>
    </row>
    <row r="849" spans="1:8" x14ac:dyDescent="0.3">
      <c r="A849" s="4" t="str">
        <f t="shared" si="44"/>
        <v/>
      </c>
      <c r="D849" s="1" t="str">
        <f t="shared" si="48"/>
        <v/>
      </c>
      <c r="E849" s="5" t="str">
        <f t="shared" si="45"/>
        <v/>
      </c>
      <c r="F849" s="6" t="str">
        <f t="shared" si="46"/>
        <v/>
      </c>
      <c r="G849" s="7" t="str">
        <f>IFERROR(總表[[#This Row],[數量]]*總表[[#This Row],[單價]],"")</f>
        <v/>
      </c>
      <c r="H849" s="8" t="str">
        <f t="shared" si="47"/>
        <v/>
      </c>
    </row>
    <row r="850" spans="1:8" x14ac:dyDescent="0.3">
      <c r="A850" s="4" t="str">
        <f t="shared" si="44"/>
        <v/>
      </c>
      <c r="D850" s="1" t="str">
        <f t="shared" si="48"/>
        <v/>
      </c>
      <c r="E850" s="5" t="str">
        <f t="shared" si="45"/>
        <v/>
      </c>
      <c r="F850" s="6" t="str">
        <f t="shared" si="46"/>
        <v/>
      </c>
      <c r="G850" s="7" t="str">
        <f>IFERROR(總表[[#This Row],[數量]]*總表[[#This Row],[單價]],"")</f>
        <v/>
      </c>
      <c r="H850" s="8" t="str">
        <f t="shared" si="47"/>
        <v/>
      </c>
    </row>
    <row r="851" spans="1:8" x14ac:dyDescent="0.3">
      <c r="A851" s="4" t="str">
        <f t="shared" si="44"/>
        <v/>
      </c>
      <c r="D851" s="1" t="str">
        <f t="shared" si="48"/>
        <v/>
      </c>
      <c r="E851" s="5" t="str">
        <f t="shared" si="45"/>
        <v/>
      </c>
      <c r="F851" s="6" t="str">
        <f t="shared" si="46"/>
        <v/>
      </c>
      <c r="G851" s="7" t="str">
        <f>IFERROR(總表[[#This Row],[數量]]*總表[[#This Row],[單價]],"")</f>
        <v/>
      </c>
      <c r="H851" s="8" t="str">
        <f t="shared" si="47"/>
        <v/>
      </c>
    </row>
    <row r="852" spans="1:8" x14ac:dyDescent="0.3">
      <c r="A852" s="4" t="str">
        <f t="shared" si="44"/>
        <v/>
      </c>
      <c r="D852" s="1" t="str">
        <f t="shared" si="48"/>
        <v/>
      </c>
      <c r="E852" s="5" t="str">
        <f t="shared" si="45"/>
        <v/>
      </c>
      <c r="F852" s="6" t="str">
        <f t="shared" si="46"/>
        <v/>
      </c>
      <c r="G852" s="7" t="str">
        <f>IFERROR(總表[[#This Row],[數量]]*總表[[#This Row],[單價]],"")</f>
        <v/>
      </c>
      <c r="H852" s="8" t="str">
        <f t="shared" si="47"/>
        <v/>
      </c>
    </row>
    <row r="853" spans="1:8" x14ac:dyDescent="0.3">
      <c r="A853" s="4" t="str">
        <f t="shared" si="44"/>
        <v/>
      </c>
      <c r="D853" s="1" t="str">
        <f t="shared" si="48"/>
        <v/>
      </c>
      <c r="E853" s="5" t="str">
        <f t="shared" si="45"/>
        <v/>
      </c>
      <c r="F853" s="6" t="str">
        <f t="shared" si="46"/>
        <v/>
      </c>
      <c r="G853" s="7" t="str">
        <f>IFERROR(總表[[#This Row],[數量]]*總表[[#This Row],[單價]],"")</f>
        <v/>
      </c>
      <c r="H853" s="8" t="str">
        <f t="shared" si="47"/>
        <v/>
      </c>
    </row>
    <row r="854" spans="1:8" x14ac:dyDescent="0.3">
      <c r="A854" s="4" t="str">
        <f t="shared" si="44"/>
        <v/>
      </c>
      <c r="D854" s="1" t="str">
        <f t="shared" si="48"/>
        <v/>
      </c>
      <c r="E854" s="5" t="str">
        <f t="shared" si="45"/>
        <v/>
      </c>
      <c r="F854" s="6" t="str">
        <f t="shared" si="46"/>
        <v/>
      </c>
      <c r="G854" s="7" t="str">
        <f>IFERROR(總表[[#This Row],[數量]]*總表[[#This Row],[單價]],"")</f>
        <v/>
      </c>
      <c r="H854" s="8" t="str">
        <f t="shared" si="47"/>
        <v/>
      </c>
    </row>
    <row r="855" spans="1:8" x14ac:dyDescent="0.3">
      <c r="A855" s="4" t="str">
        <f t="shared" si="44"/>
        <v/>
      </c>
      <c r="D855" s="1" t="str">
        <f t="shared" si="48"/>
        <v/>
      </c>
      <c r="E855" s="5" t="str">
        <f t="shared" si="45"/>
        <v/>
      </c>
      <c r="F855" s="6" t="str">
        <f t="shared" si="46"/>
        <v/>
      </c>
      <c r="G855" s="7" t="str">
        <f>IFERROR(總表[[#This Row],[數量]]*總表[[#This Row],[單價]],"")</f>
        <v/>
      </c>
      <c r="H855" s="8" t="str">
        <f t="shared" si="47"/>
        <v/>
      </c>
    </row>
    <row r="856" spans="1:8" x14ac:dyDescent="0.3">
      <c r="A856" s="4" t="str">
        <f t="shared" si="44"/>
        <v/>
      </c>
      <c r="D856" s="1" t="str">
        <f t="shared" si="48"/>
        <v/>
      </c>
      <c r="E856" s="5" t="str">
        <f t="shared" si="45"/>
        <v/>
      </c>
      <c r="F856" s="6" t="str">
        <f t="shared" si="46"/>
        <v/>
      </c>
      <c r="G856" s="7" t="str">
        <f>IFERROR(總表[[#This Row],[數量]]*總表[[#This Row],[單價]],"")</f>
        <v/>
      </c>
      <c r="H856" s="8" t="str">
        <f t="shared" si="47"/>
        <v/>
      </c>
    </row>
    <row r="857" spans="1:8" x14ac:dyDescent="0.3">
      <c r="A857" s="4" t="str">
        <f t="shared" si="44"/>
        <v/>
      </c>
      <c r="D857" s="1" t="str">
        <f t="shared" si="48"/>
        <v/>
      </c>
      <c r="E857" s="5" t="str">
        <f t="shared" si="45"/>
        <v/>
      </c>
      <c r="F857" s="6" t="str">
        <f t="shared" si="46"/>
        <v/>
      </c>
      <c r="G857" s="7" t="str">
        <f>IFERROR(總表[[#This Row],[數量]]*總表[[#This Row],[單價]],"")</f>
        <v/>
      </c>
      <c r="H857" s="8" t="str">
        <f t="shared" si="47"/>
        <v/>
      </c>
    </row>
    <row r="858" spans="1:8" x14ac:dyDescent="0.3">
      <c r="A858" s="4" t="str">
        <f t="shared" si="44"/>
        <v/>
      </c>
      <c r="D858" s="1" t="str">
        <f t="shared" si="48"/>
        <v/>
      </c>
      <c r="E858" s="5" t="str">
        <f t="shared" si="45"/>
        <v/>
      </c>
      <c r="F858" s="6" t="str">
        <f t="shared" si="46"/>
        <v/>
      </c>
      <c r="G858" s="7" t="str">
        <f>IFERROR(總表[[#This Row],[數量]]*總表[[#This Row],[單價]],"")</f>
        <v/>
      </c>
      <c r="H858" s="8" t="str">
        <f t="shared" si="47"/>
        <v/>
      </c>
    </row>
    <row r="859" spans="1:8" x14ac:dyDescent="0.3">
      <c r="A859" s="4" t="str">
        <f t="shared" si="44"/>
        <v/>
      </c>
      <c r="D859" s="1" t="str">
        <f t="shared" si="48"/>
        <v/>
      </c>
      <c r="E859" s="5" t="str">
        <f t="shared" si="45"/>
        <v/>
      </c>
      <c r="F859" s="6" t="str">
        <f t="shared" si="46"/>
        <v/>
      </c>
      <c r="G859" s="7" t="str">
        <f>IFERROR(總表[[#This Row],[數量]]*總表[[#This Row],[單價]],"")</f>
        <v/>
      </c>
      <c r="H859" s="8" t="str">
        <f t="shared" si="47"/>
        <v/>
      </c>
    </row>
    <row r="860" spans="1:8" x14ac:dyDescent="0.3">
      <c r="A860" s="4" t="str">
        <f t="shared" si="44"/>
        <v/>
      </c>
      <c r="D860" s="1" t="str">
        <f t="shared" si="48"/>
        <v/>
      </c>
      <c r="E860" s="5" t="str">
        <f t="shared" si="45"/>
        <v/>
      </c>
      <c r="F860" s="6" t="str">
        <f t="shared" si="46"/>
        <v/>
      </c>
      <c r="G860" s="7" t="str">
        <f>IFERROR(總表[[#This Row],[數量]]*總表[[#This Row],[單價]],"")</f>
        <v/>
      </c>
      <c r="H860" s="8" t="str">
        <f t="shared" si="47"/>
        <v/>
      </c>
    </row>
    <row r="861" spans="1:8" x14ac:dyDescent="0.3">
      <c r="A861" s="4" t="str">
        <f t="shared" si="44"/>
        <v/>
      </c>
      <c r="D861" s="1" t="str">
        <f t="shared" si="48"/>
        <v/>
      </c>
      <c r="E861" s="5" t="str">
        <f t="shared" si="45"/>
        <v/>
      </c>
      <c r="F861" s="6" t="str">
        <f t="shared" si="46"/>
        <v/>
      </c>
      <c r="G861" s="7" t="str">
        <f>IFERROR(總表[[#This Row],[數量]]*總表[[#This Row],[單價]],"")</f>
        <v/>
      </c>
      <c r="H861" s="8" t="str">
        <f t="shared" si="47"/>
        <v/>
      </c>
    </row>
    <row r="862" spans="1:8" x14ac:dyDescent="0.3">
      <c r="A862" s="4" t="str">
        <f t="shared" si="44"/>
        <v/>
      </c>
      <c r="D862" s="1" t="str">
        <f t="shared" si="48"/>
        <v/>
      </c>
      <c r="E862" s="5" t="str">
        <f t="shared" si="45"/>
        <v/>
      </c>
      <c r="F862" s="6" t="str">
        <f t="shared" si="46"/>
        <v/>
      </c>
      <c r="G862" s="7" t="str">
        <f>IFERROR(總表[[#This Row],[數量]]*總表[[#This Row],[單價]],"")</f>
        <v/>
      </c>
      <c r="H862" s="8" t="str">
        <f t="shared" si="47"/>
        <v/>
      </c>
    </row>
    <row r="863" spans="1:8" x14ac:dyDescent="0.3">
      <c r="A863" s="4" t="str">
        <f t="shared" si="44"/>
        <v/>
      </c>
      <c r="D863" s="1" t="str">
        <f t="shared" si="48"/>
        <v/>
      </c>
      <c r="E863" s="5" t="str">
        <f t="shared" si="45"/>
        <v/>
      </c>
      <c r="F863" s="6" t="str">
        <f t="shared" si="46"/>
        <v/>
      </c>
      <c r="G863" s="7" t="str">
        <f>IFERROR(總表[[#This Row],[數量]]*總表[[#This Row],[單價]],"")</f>
        <v/>
      </c>
      <c r="H863" s="8" t="str">
        <f t="shared" si="47"/>
        <v/>
      </c>
    </row>
    <row r="864" spans="1:8" x14ac:dyDescent="0.3">
      <c r="A864" s="4" t="str">
        <f t="shared" si="44"/>
        <v/>
      </c>
      <c r="D864" s="1" t="str">
        <f t="shared" si="48"/>
        <v/>
      </c>
      <c r="E864" s="5" t="str">
        <f t="shared" si="45"/>
        <v/>
      </c>
      <c r="F864" s="6" t="str">
        <f t="shared" si="46"/>
        <v/>
      </c>
      <c r="G864" s="7" t="str">
        <f>IFERROR(總表[[#This Row],[數量]]*總表[[#This Row],[單價]],"")</f>
        <v/>
      </c>
      <c r="H864" s="8" t="str">
        <f t="shared" si="47"/>
        <v/>
      </c>
    </row>
    <row r="865" spans="1:8" x14ac:dyDescent="0.3">
      <c r="A865" s="4" t="str">
        <f t="shared" si="44"/>
        <v/>
      </c>
      <c r="D865" s="1" t="str">
        <f t="shared" si="48"/>
        <v/>
      </c>
      <c r="E865" s="5" t="str">
        <f t="shared" si="45"/>
        <v/>
      </c>
      <c r="F865" s="6" t="str">
        <f t="shared" si="46"/>
        <v/>
      </c>
      <c r="G865" s="7" t="str">
        <f>IFERROR(總表[[#This Row],[數量]]*總表[[#This Row],[單價]],"")</f>
        <v/>
      </c>
      <c r="H865" s="8" t="str">
        <f t="shared" si="47"/>
        <v/>
      </c>
    </row>
    <row r="866" spans="1:8" x14ac:dyDescent="0.3">
      <c r="A866" s="4" t="str">
        <f t="shared" si="44"/>
        <v/>
      </c>
      <c r="D866" s="1" t="str">
        <f t="shared" si="48"/>
        <v/>
      </c>
      <c r="E866" s="5" t="str">
        <f t="shared" si="45"/>
        <v/>
      </c>
      <c r="F866" s="6" t="str">
        <f t="shared" si="46"/>
        <v/>
      </c>
      <c r="G866" s="7" t="str">
        <f>IFERROR(總表[[#This Row],[數量]]*總表[[#This Row],[單價]],"")</f>
        <v/>
      </c>
      <c r="H866" s="8" t="str">
        <f t="shared" si="47"/>
        <v/>
      </c>
    </row>
    <row r="867" spans="1:8" x14ac:dyDescent="0.3">
      <c r="A867" s="4" t="str">
        <f t="shared" si="44"/>
        <v/>
      </c>
      <c r="D867" s="1" t="str">
        <f t="shared" si="48"/>
        <v/>
      </c>
      <c r="E867" s="5" t="str">
        <f t="shared" si="45"/>
        <v/>
      </c>
      <c r="F867" s="6" t="str">
        <f t="shared" si="46"/>
        <v/>
      </c>
      <c r="G867" s="7" t="str">
        <f>IFERROR(總表[[#This Row],[數量]]*總表[[#This Row],[單價]],"")</f>
        <v/>
      </c>
      <c r="H867" s="8" t="str">
        <f t="shared" si="47"/>
        <v/>
      </c>
    </row>
    <row r="868" spans="1:8" x14ac:dyDescent="0.3">
      <c r="A868" s="4" t="str">
        <f t="shared" si="44"/>
        <v/>
      </c>
      <c r="D868" s="1" t="str">
        <f t="shared" si="48"/>
        <v/>
      </c>
      <c r="E868" s="5" t="str">
        <f t="shared" si="45"/>
        <v/>
      </c>
      <c r="F868" s="6" t="str">
        <f t="shared" si="46"/>
        <v/>
      </c>
      <c r="G868" s="7" t="str">
        <f>IFERROR(總表[[#This Row],[數量]]*總表[[#This Row],[單價]],"")</f>
        <v/>
      </c>
      <c r="H868" s="8" t="str">
        <f t="shared" si="47"/>
        <v/>
      </c>
    </row>
    <row r="869" spans="1:8" x14ac:dyDescent="0.3">
      <c r="A869" s="4" t="str">
        <f t="shared" si="44"/>
        <v/>
      </c>
      <c r="D869" s="1" t="str">
        <f t="shared" si="48"/>
        <v/>
      </c>
      <c r="E869" s="5" t="str">
        <f t="shared" si="45"/>
        <v/>
      </c>
      <c r="F869" s="6" t="str">
        <f t="shared" si="46"/>
        <v/>
      </c>
      <c r="G869" s="7" t="str">
        <f>IFERROR(總表[[#This Row],[數量]]*總表[[#This Row],[單價]],"")</f>
        <v/>
      </c>
      <c r="H869" s="8" t="str">
        <f t="shared" si="47"/>
        <v/>
      </c>
    </row>
    <row r="870" spans="1:8" x14ac:dyDescent="0.3">
      <c r="A870" s="4" t="str">
        <f t="shared" si="44"/>
        <v/>
      </c>
      <c r="D870" s="1" t="str">
        <f t="shared" si="48"/>
        <v/>
      </c>
      <c r="E870" s="5" t="str">
        <f t="shared" si="45"/>
        <v/>
      </c>
      <c r="F870" s="6" t="str">
        <f t="shared" si="46"/>
        <v/>
      </c>
      <c r="G870" s="7" t="str">
        <f>IFERROR(總表[[#This Row],[數量]]*總表[[#This Row],[單價]],"")</f>
        <v/>
      </c>
      <c r="H870" s="8" t="str">
        <f t="shared" si="47"/>
        <v/>
      </c>
    </row>
    <row r="871" spans="1:8" x14ac:dyDescent="0.3">
      <c r="A871" s="4" t="str">
        <f t="shared" si="44"/>
        <v/>
      </c>
      <c r="D871" s="1" t="str">
        <f t="shared" si="48"/>
        <v/>
      </c>
      <c r="E871" s="5" t="str">
        <f t="shared" si="45"/>
        <v/>
      </c>
      <c r="F871" s="6" t="str">
        <f t="shared" si="46"/>
        <v/>
      </c>
      <c r="G871" s="7" t="str">
        <f>IFERROR(總表[[#This Row],[數量]]*總表[[#This Row],[單價]],"")</f>
        <v/>
      </c>
      <c r="H871" s="8" t="str">
        <f t="shared" si="47"/>
        <v/>
      </c>
    </row>
    <row r="872" spans="1:8" x14ac:dyDescent="0.3">
      <c r="A872" s="4" t="str">
        <f t="shared" si="44"/>
        <v/>
      </c>
      <c r="D872" s="1" t="str">
        <f t="shared" si="48"/>
        <v/>
      </c>
      <c r="E872" s="5" t="str">
        <f t="shared" si="45"/>
        <v/>
      </c>
      <c r="F872" s="6" t="str">
        <f t="shared" si="46"/>
        <v/>
      </c>
      <c r="G872" s="7" t="str">
        <f>IFERROR(總表[[#This Row],[數量]]*總表[[#This Row],[單價]],"")</f>
        <v/>
      </c>
      <c r="H872" s="8" t="str">
        <f t="shared" si="47"/>
        <v/>
      </c>
    </row>
    <row r="873" spans="1:8" x14ac:dyDescent="0.3">
      <c r="A873" s="4" t="str">
        <f t="shared" si="44"/>
        <v/>
      </c>
      <c r="D873" s="1" t="str">
        <f t="shared" si="48"/>
        <v/>
      </c>
      <c r="E873" s="5" t="str">
        <f t="shared" si="45"/>
        <v/>
      </c>
      <c r="F873" s="6" t="str">
        <f t="shared" si="46"/>
        <v/>
      </c>
      <c r="G873" s="7" t="str">
        <f>IFERROR(總表[[#This Row],[數量]]*總表[[#This Row],[單價]],"")</f>
        <v/>
      </c>
      <c r="H873" s="8" t="str">
        <f t="shared" si="47"/>
        <v/>
      </c>
    </row>
    <row r="874" spans="1:8" x14ac:dyDescent="0.3">
      <c r="A874" s="4" t="str">
        <f t="shared" si="44"/>
        <v/>
      </c>
      <c r="D874" s="1" t="str">
        <f t="shared" si="48"/>
        <v/>
      </c>
      <c r="E874" s="5" t="str">
        <f t="shared" si="45"/>
        <v/>
      </c>
      <c r="F874" s="6" t="str">
        <f t="shared" si="46"/>
        <v/>
      </c>
      <c r="G874" s="7" t="str">
        <f>IFERROR(總表[[#This Row],[數量]]*總表[[#This Row],[單價]],"")</f>
        <v/>
      </c>
      <c r="H874" s="8" t="str">
        <f t="shared" si="47"/>
        <v/>
      </c>
    </row>
    <row r="875" spans="1:8" x14ac:dyDescent="0.3">
      <c r="A875" s="4" t="str">
        <f t="shared" si="44"/>
        <v/>
      </c>
      <c r="D875" s="1" t="str">
        <f t="shared" si="48"/>
        <v/>
      </c>
      <c r="E875" s="5" t="str">
        <f t="shared" si="45"/>
        <v/>
      </c>
      <c r="F875" s="6" t="str">
        <f t="shared" si="46"/>
        <v/>
      </c>
      <c r="G875" s="7" t="str">
        <f>IFERROR(總表[[#This Row],[數量]]*總表[[#This Row],[單價]],"")</f>
        <v/>
      </c>
      <c r="H875" s="8" t="str">
        <f t="shared" si="47"/>
        <v/>
      </c>
    </row>
    <row r="876" spans="1:8" x14ac:dyDescent="0.3">
      <c r="A876" s="4" t="str">
        <f t="shared" si="44"/>
        <v/>
      </c>
      <c r="D876" s="1" t="str">
        <f t="shared" si="48"/>
        <v/>
      </c>
      <c r="E876" s="5" t="str">
        <f t="shared" si="45"/>
        <v/>
      </c>
      <c r="F876" s="6" t="str">
        <f t="shared" si="46"/>
        <v/>
      </c>
      <c r="G876" s="7" t="str">
        <f>IFERROR(總表[[#This Row],[數量]]*總表[[#This Row],[單價]],"")</f>
        <v/>
      </c>
      <c r="H876" s="8" t="str">
        <f t="shared" si="47"/>
        <v/>
      </c>
    </row>
    <row r="877" spans="1:8" x14ac:dyDescent="0.3">
      <c r="A877" s="4" t="str">
        <f t="shared" si="44"/>
        <v/>
      </c>
      <c r="D877" s="1" t="str">
        <f t="shared" si="48"/>
        <v/>
      </c>
      <c r="E877" s="5" t="str">
        <f t="shared" si="45"/>
        <v/>
      </c>
      <c r="F877" s="6" t="str">
        <f t="shared" si="46"/>
        <v/>
      </c>
      <c r="G877" s="7" t="str">
        <f>IFERROR(總表[[#This Row],[數量]]*總表[[#This Row],[單價]],"")</f>
        <v/>
      </c>
      <c r="H877" s="8" t="str">
        <f t="shared" si="47"/>
        <v/>
      </c>
    </row>
    <row r="878" spans="1:8" x14ac:dyDescent="0.3">
      <c r="A878" s="4" t="str">
        <f t="shared" si="44"/>
        <v/>
      </c>
      <c r="D878" s="1" t="str">
        <f t="shared" si="48"/>
        <v/>
      </c>
      <c r="E878" s="5" t="str">
        <f t="shared" si="45"/>
        <v/>
      </c>
      <c r="F878" s="6" t="str">
        <f t="shared" si="46"/>
        <v/>
      </c>
      <c r="G878" s="7" t="str">
        <f>IFERROR(總表[[#This Row],[數量]]*總表[[#This Row],[單價]],"")</f>
        <v/>
      </c>
      <c r="H878" s="8" t="str">
        <f t="shared" si="47"/>
        <v/>
      </c>
    </row>
    <row r="879" spans="1:8" x14ac:dyDescent="0.3">
      <c r="A879" s="4" t="str">
        <f t="shared" si="44"/>
        <v/>
      </c>
      <c r="D879" s="1" t="str">
        <f t="shared" si="48"/>
        <v/>
      </c>
      <c r="E879" s="5" t="str">
        <f t="shared" si="45"/>
        <v/>
      </c>
      <c r="F879" s="6" t="str">
        <f t="shared" si="46"/>
        <v/>
      </c>
      <c r="G879" s="7" t="str">
        <f>IFERROR(總表[[#This Row],[數量]]*總表[[#This Row],[單價]],"")</f>
        <v/>
      </c>
      <c r="H879" s="8" t="str">
        <f t="shared" si="47"/>
        <v/>
      </c>
    </row>
    <row r="880" spans="1:8" x14ac:dyDescent="0.3">
      <c r="A880" s="4" t="str">
        <f t="shared" si="44"/>
        <v/>
      </c>
      <c r="D880" s="1" t="str">
        <f t="shared" si="48"/>
        <v/>
      </c>
      <c r="E880" s="5" t="str">
        <f t="shared" si="45"/>
        <v/>
      </c>
      <c r="F880" s="6" t="str">
        <f t="shared" si="46"/>
        <v/>
      </c>
      <c r="G880" s="7" t="str">
        <f>IFERROR(總表[[#This Row],[數量]]*總表[[#This Row],[單價]],"")</f>
        <v/>
      </c>
      <c r="H880" s="8" t="str">
        <f t="shared" si="47"/>
        <v/>
      </c>
    </row>
    <row r="881" spans="1:8" x14ac:dyDescent="0.3">
      <c r="A881" s="4" t="str">
        <f t="shared" si="44"/>
        <v/>
      </c>
      <c r="D881" s="1" t="str">
        <f t="shared" si="48"/>
        <v/>
      </c>
      <c r="E881" s="5" t="str">
        <f t="shared" si="45"/>
        <v/>
      </c>
      <c r="F881" s="6" t="str">
        <f t="shared" si="46"/>
        <v/>
      </c>
      <c r="G881" s="7" t="str">
        <f>IFERROR(總表[[#This Row],[數量]]*總表[[#This Row],[單價]],"")</f>
        <v/>
      </c>
      <c r="H881" s="8" t="str">
        <f t="shared" si="47"/>
        <v/>
      </c>
    </row>
    <row r="882" spans="1:8" x14ac:dyDescent="0.3">
      <c r="A882" s="4" t="str">
        <f t="shared" si="44"/>
        <v/>
      </c>
      <c r="D882" s="1" t="str">
        <f t="shared" si="48"/>
        <v/>
      </c>
      <c r="E882" s="5" t="str">
        <f t="shared" si="45"/>
        <v/>
      </c>
      <c r="F882" s="6" t="str">
        <f t="shared" si="46"/>
        <v/>
      </c>
      <c r="G882" s="7" t="str">
        <f>IFERROR(總表[[#This Row],[數量]]*總表[[#This Row],[單價]],"")</f>
        <v/>
      </c>
      <c r="H882" s="8" t="str">
        <f t="shared" si="47"/>
        <v/>
      </c>
    </row>
    <row r="883" spans="1:8" x14ac:dyDescent="0.3">
      <c r="A883" s="4" t="str">
        <f t="shared" si="44"/>
        <v/>
      </c>
      <c r="D883" s="1" t="str">
        <f t="shared" si="48"/>
        <v/>
      </c>
      <c r="E883" s="5" t="str">
        <f t="shared" si="45"/>
        <v/>
      </c>
      <c r="F883" s="6" t="str">
        <f t="shared" si="46"/>
        <v/>
      </c>
      <c r="G883" s="7" t="str">
        <f>IFERROR(總表[[#This Row],[數量]]*總表[[#This Row],[單價]],"")</f>
        <v/>
      </c>
      <c r="H883" s="8" t="str">
        <f t="shared" si="47"/>
        <v/>
      </c>
    </row>
    <row r="884" spans="1:8" x14ac:dyDescent="0.3">
      <c r="A884" s="4" t="str">
        <f t="shared" si="44"/>
        <v/>
      </c>
      <c r="D884" s="1" t="str">
        <f t="shared" si="48"/>
        <v/>
      </c>
      <c r="E884" s="5" t="str">
        <f t="shared" si="45"/>
        <v/>
      </c>
      <c r="F884" s="6" t="str">
        <f t="shared" si="46"/>
        <v/>
      </c>
      <c r="G884" s="7" t="str">
        <f>IFERROR(總表[[#This Row],[數量]]*總表[[#This Row],[單價]],"")</f>
        <v/>
      </c>
      <c r="H884" s="8" t="str">
        <f t="shared" si="47"/>
        <v/>
      </c>
    </row>
    <row r="885" spans="1:8" x14ac:dyDescent="0.3">
      <c r="A885" s="4" t="str">
        <f t="shared" si="44"/>
        <v/>
      </c>
      <c r="D885" s="1" t="str">
        <f t="shared" si="48"/>
        <v/>
      </c>
      <c r="E885" s="5" t="str">
        <f t="shared" si="45"/>
        <v/>
      </c>
      <c r="F885" s="6" t="str">
        <f t="shared" si="46"/>
        <v/>
      </c>
      <c r="G885" s="7" t="str">
        <f>IFERROR(總表[[#This Row],[數量]]*總表[[#This Row],[單價]],"")</f>
        <v/>
      </c>
      <c r="H885" s="8" t="str">
        <f t="shared" si="47"/>
        <v/>
      </c>
    </row>
    <row r="886" spans="1:8" x14ac:dyDescent="0.3">
      <c r="A886" s="4" t="str">
        <f t="shared" si="44"/>
        <v/>
      </c>
      <c r="D886" s="1" t="str">
        <f t="shared" si="48"/>
        <v/>
      </c>
      <c r="E886" s="5" t="str">
        <f t="shared" si="45"/>
        <v/>
      </c>
      <c r="F886" s="6" t="str">
        <f t="shared" si="46"/>
        <v/>
      </c>
      <c r="G886" s="7" t="str">
        <f>IFERROR(總表[[#This Row],[數量]]*總表[[#This Row],[單價]],"")</f>
        <v/>
      </c>
      <c r="H886" s="8" t="str">
        <f t="shared" si="47"/>
        <v/>
      </c>
    </row>
    <row r="887" spans="1:8" x14ac:dyDescent="0.3">
      <c r="A887" s="4" t="str">
        <f t="shared" si="44"/>
        <v/>
      </c>
      <c r="D887" s="1" t="str">
        <f t="shared" si="48"/>
        <v/>
      </c>
      <c r="E887" s="5" t="str">
        <f t="shared" si="45"/>
        <v/>
      </c>
      <c r="F887" s="6" t="str">
        <f t="shared" si="46"/>
        <v/>
      </c>
      <c r="G887" s="7" t="str">
        <f>IFERROR(總表[[#This Row],[數量]]*總表[[#This Row],[單價]],"")</f>
        <v/>
      </c>
      <c r="H887" s="8" t="str">
        <f t="shared" si="47"/>
        <v/>
      </c>
    </row>
    <row r="888" spans="1:8" x14ac:dyDescent="0.3">
      <c r="A888" s="4" t="str">
        <f t="shared" si="44"/>
        <v/>
      </c>
      <c r="D888" s="1" t="str">
        <f t="shared" si="48"/>
        <v/>
      </c>
      <c r="E888" s="5" t="str">
        <f t="shared" si="45"/>
        <v/>
      </c>
      <c r="F888" s="6" t="str">
        <f t="shared" si="46"/>
        <v/>
      </c>
      <c r="G888" s="7" t="str">
        <f>IFERROR(總表[[#This Row],[數量]]*總表[[#This Row],[單價]],"")</f>
        <v/>
      </c>
      <c r="H888" s="8" t="str">
        <f t="shared" si="47"/>
        <v/>
      </c>
    </row>
    <row r="889" spans="1:8" x14ac:dyDescent="0.3">
      <c r="A889" s="4" t="str">
        <f t="shared" si="44"/>
        <v/>
      </c>
      <c r="D889" s="1" t="str">
        <f t="shared" si="48"/>
        <v/>
      </c>
      <c r="E889" s="5" t="str">
        <f t="shared" si="45"/>
        <v/>
      </c>
      <c r="F889" s="6" t="str">
        <f t="shared" si="46"/>
        <v/>
      </c>
      <c r="G889" s="7" t="str">
        <f>IFERROR(總表[[#This Row],[數量]]*總表[[#This Row],[單價]],"")</f>
        <v/>
      </c>
      <c r="H889" s="8" t="str">
        <f t="shared" si="47"/>
        <v/>
      </c>
    </row>
    <row r="890" spans="1:8" x14ac:dyDescent="0.3">
      <c r="A890" s="4" t="str">
        <f t="shared" si="44"/>
        <v/>
      </c>
      <c r="D890" s="1" t="str">
        <f t="shared" si="48"/>
        <v/>
      </c>
      <c r="E890" s="5" t="str">
        <f t="shared" si="45"/>
        <v/>
      </c>
      <c r="F890" s="6" t="str">
        <f t="shared" si="46"/>
        <v/>
      </c>
      <c r="G890" s="7" t="str">
        <f>IFERROR(總表[[#This Row],[數量]]*總表[[#This Row],[單價]],"")</f>
        <v/>
      </c>
      <c r="H890" s="8" t="str">
        <f t="shared" si="47"/>
        <v/>
      </c>
    </row>
    <row r="891" spans="1:8" x14ac:dyDescent="0.3">
      <c r="A891" s="4" t="str">
        <f t="shared" si="44"/>
        <v/>
      </c>
      <c r="D891" s="1" t="str">
        <f t="shared" si="48"/>
        <v/>
      </c>
      <c r="E891" s="5" t="str">
        <f t="shared" si="45"/>
        <v/>
      </c>
      <c r="F891" s="6" t="str">
        <f t="shared" si="46"/>
        <v/>
      </c>
      <c r="G891" s="7" t="str">
        <f>IFERROR(總表[[#This Row],[數量]]*總表[[#This Row],[單價]],"")</f>
        <v/>
      </c>
      <c r="H891" s="8" t="str">
        <f t="shared" si="47"/>
        <v/>
      </c>
    </row>
    <row r="892" spans="1:8" x14ac:dyDescent="0.3">
      <c r="A892" s="4" t="str">
        <f t="shared" si="44"/>
        <v/>
      </c>
      <c r="D892" s="1" t="str">
        <f t="shared" si="48"/>
        <v/>
      </c>
      <c r="E892" s="5" t="str">
        <f t="shared" si="45"/>
        <v/>
      </c>
      <c r="F892" s="6" t="str">
        <f t="shared" si="46"/>
        <v/>
      </c>
      <c r="G892" s="7" t="str">
        <f>IFERROR(總表[[#This Row],[數量]]*總表[[#This Row],[單價]],"")</f>
        <v/>
      </c>
      <c r="H892" s="8" t="str">
        <f t="shared" si="47"/>
        <v/>
      </c>
    </row>
    <row r="893" spans="1:8" x14ac:dyDescent="0.3">
      <c r="A893" s="4" t="str">
        <f t="shared" si="44"/>
        <v/>
      </c>
      <c r="D893" s="1" t="str">
        <f t="shared" si="48"/>
        <v/>
      </c>
      <c r="E893" s="5" t="str">
        <f t="shared" si="45"/>
        <v/>
      </c>
      <c r="F893" s="6" t="str">
        <f t="shared" si="46"/>
        <v/>
      </c>
      <c r="G893" s="7" t="str">
        <f>IFERROR(總表[[#This Row],[數量]]*總表[[#This Row],[單價]],"")</f>
        <v/>
      </c>
      <c r="H893" s="8" t="str">
        <f t="shared" si="47"/>
        <v/>
      </c>
    </row>
    <row r="894" spans="1:8" x14ac:dyDescent="0.3">
      <c r="A894" s="4" t="str">
        <f t="shared" si="44"/>
        <v/>
      </c>
      <c r="D894" s="1" t="str">
        <f t="shared" si="48"/>
        <v/>
      </c>
      <c r="E894" s="5" t="str">
        <f t="shared" si="45"/>
        <v/>
      </c>
      <c r="F894" s="6" t="str">
        <f t="shared" si="46"/>
        <v/>
      </c>
      <c r="G894" s="7" t="str">
        <f>IFERROR(總表[[#This Row],[數量]]*總表[[#This Row],[單價]],"")</f>
        <v/>
      </c>
      <c r="H894" s="8" t="str">
        <f t="shared" si="47"/>
        <v/>
      </c>
    </row>
    <row r="895" spans="1:8" x14ac:dyDescent="0.3">
      <c r="A895" s="4" t="str">
        <f t="shared" si="44"/>
        <v/>
      </c>
      <c r="D895" s="1" t="str">
        <f t="shared" si="48"/>
        <v/>
      </c>
      <c r="E895" s="5" t="str">
        <f t="shared" si="45"/>
        <v/>
      </c>
      <c r="F895" s="6" t="str">
        <f t="shared" si="46"/>
        <v/>
      </c>
      <c r="G895" s="7" t="str">
        <f>IFERROR(總表[[#This Row],[數量]]*總表[[#This Row],[單價]],"")</f>
        <v/>
      </c>
      <c r="H895" s="8" t="str">
        <f t="shared" si="47"/>
        <v/>
      </c>
    </row>
    <row r="896" spans="1:8" x14ac:dyDescent="0.3">
      <c r="A896" s="4" t="str">
        <f t="shared" si="44"/>
        <v/>
      </c>
      <c r="D896" s="1" t="str">
        <f t="shared" si="48"/>
        <v/>
      </c>
      <c r="E896" s="5" t="str">
        <f t="shared" si="45"/>
        <v/>
      </c>
      <c r="F896" s="6" t="str">
        <f t="shared" si="46"/>
        <v/>
      </c>
      <c r="G896" s="7" t="str">
        <f>IFERROR(總表[[#This Row],[數量]]*總表[[#This Row],[單價]],"")</f>
        <v/>
      </c>
      <c r="H896" s="8" t="str">
        <f t="shared" si="47"/>
        <v/>
      </c>
    </row>
    <row r="897" spans="1:8" x14ac:dyDescent="0.3">
      <c r="A897" s="4" t="str">
        <f t="shared" si="44"/>
        <v/>
      </c>
      <c r="D897" s="1" t="str">
        <f t="shared" si="48"/>
        <v/>
      </c>
      <c r="E897" s="5" t="str">
        <f t="shared" si="45"/>
        <v/>
      </c>
      <c r="F897" s="6" t="str">
        <f t="shared" si="46"/>
        <v/>
      </c>
      <c r="G897" s="7" t="str">
        <f>IFERROR(總表[[#This Row],[數量]]*總表[[#This Row],[單價]],"")</f>
        <v/>
      </c>
      <c r="H897" s="8" t="str">
        <f t="shared" si="47"/>
        <v/>
      </c>
    </row>
    <row r="898" spans="1:8" x14ac:dyDescent="0.3">
      <c r="A898" s="4" t="str">
        <f t="shared" ref="A898:A961" si="49">IF(B898="","",A897)</f>
        <v/>
      </c>
      <c r="D898" s="1" t="str">
        <f t="shared" si="48"/>
        <v/>
      </c>
      <c r="E898" s="5" t="str">
        <f t="shared" ref="E898:E961" si="50">_xlfn.IFNA(VLOOKUP(B898,$B:$G,4,0),"")</f>
        <v/>
      </c>
      <c r="F898" s="6" t="str">
        <f t="shared" ref="F898:F961" si="51">_xlfn.IFNA(VLOOKUP(B898,$B:$G,5,0),"")</f>
        <v/>
      </c>
      <c r="G898" s="7" t="str">
        <f>IFERROR(總表[[#This Row],[數量]]*總表[[#This Row],[單價]],"")</f>
        <v/>
      </c>
      <c r="H898" s="8" t="str">
        <f t="shared" ref="H898:H961" si="52">IF(A898&lt;&gt;A897,SUMIF(A:A, A898, G:G),"")</f>
        <v/>
      </c>
    </row>
    <row r="899" spans="1:8" x14ac:dyDescent="0.3">
      <c r="A899" s="4" t="str">
        <f t="shared" si="49"/>
        <v/>
      </c>
      <c r="D899" s="1" t="str">
        <f t="shared" si="48"/>
        <v/>
      </c>
      <c r="E899" s="5" t="str">
        <f t="shared" si="50"/>
        <v/>
      </c>
      <c r="F899" s="6" t="str">
        <f t="shared" si="51"/>
        <v/>
      </c>
      <c r="G899" s="7" t="str">
        <f>IFERROR(總表[[#This Row],[數量]]*總表[[#This Row],[單價]],"")</f>
        <v/>
      </c>
      <c r="H899" s="8" t="str">
        <f t="shared" si="52"/>
        <v/>
      </c>
    </row>
    <row r="900" spans="1:8" x14ac:dyDescent="0.3">
      <c r="A900" s="4" t="str">
        <f t="shared" si="49"/>
        <v/>
      </c>
      <c r="D900" s="1" t="str">
        <f t="shared" si="48"/>
        <v/>
      </c>
      <c r="E900" s="5" t="str">
        <f t="shared" si="50"/>
        <v/>
      </c>
      <c r="F900" s="6" t="str">
        <f t="shared" si="51"/>
        <v/>
      </c>
      <c r="G900" s="7" t="str">
        <f>IFERROR(總表[[#This Row],[數量]]*總表[[#This Row],[單價]],"")</f>
        <v/>
      </c>
      <c r="H900" s="8" t="str">
        <f t="shared" si="52"/>
        <v/>
      </c>
    </row>
    <row r="901" spans="1:8" x14ac:dyDescent="0.3">
      <c r="A901" s="4" t="str">
        <f t="shared" si="49"/>
        <v/>
      </c>
      <c r="D901" s="1" t="str">
        <f t="shared" si="48"/>
        <v/>
      </c>
      <c r="E901" s="5" t="str">
        <f t="shared" si="50"/>
        <v/>
      </c>
      <c r="F901" s="6" t="str">
        <f t="shared" si="51"/>
        <v/>
      </c>
      <c r="G901" s="7" t="str">
        <f>IFERROR(總表[[#This Row],[數量]]*總表[[#This Row],[單價]],"")</f>
        <v/>
      </c>
      <c r="H901" s="8" t="str">
        <f t="shared" si="52"/>
        <v/>
      </c>
    </row>
    <row r="902" spans="1:8" x14ac:dyDescent="0.3">
      <c r="A902" s="4" t="str">
        <f t="shared" si="49"/>
        <v/>
      </c>
      <c r="D902" s="1" t="str">
        <f t="shared" si="48"/>
        <v/>
      </c>
      <c r="E902" s="5" t="str">
        <f t="shared" si="50"/>
        <v/>
      </c>
      <c r="F902" s="6" t="str">
        <f t="shared" si="51"/>
        <v/>
      </c>
      <c r="G902" s="7" t="str">
        <f>IFERROR(總表[[#This Row],[數量]]*總表[[#This Row],[單價]],"")</f>
        <v/>
      </c>
      <c r="H902" s="8" t="str">
        <f t="shared" si="52"/>
        <v/>
      </c>
    </row>
    <row r="903" spans="1:8" x14ac:dyDescent="0.3">
      <c r="A903" s="4" t="str">
        <f t="shared" si="49"/>
        <v/>
      </c>
      <c r="D903" s="1" t="str">
        <f t="shared" si="48"/>
        <v/>
      </c>
      <c r="E903" s="5" t="str">
        <f t="shared" si="50"/>
        <v/>
      </c>
      <c r="F903" s="6" t="str">
        <f t="shared" si="51"/>
        <v/>
      </c>
      <c r="G903" s="7" t="str">
        <f>IFERROR(總表[[#This Row],[數量]]*總表[[#This Row],[單價]],"")</f>
        <v/>
      </c>
      <c r="H903" s="8" t="str">
        <f t="shared" si="52"/>
        <v/>
      </c>
    </row>
    <row r="904" spans="1:8" x14ac:dyDescent="0.3">
      <c r="A904" s="4" t="str">
        <f t="shared" si="49"/>
        <v/>
      </c>
      <c r="D904" s="1" t="str">
        <f t="shared" si="48"/>
        <v/>
      </c>
      <c r="E904" s="5" t="str">
        <f t="shared" si="50"/>
        <v/>
      </c>
      <c r="F904" s="6" t="str">
        <f t="shared" si="51"/>
        <v/>
      </c>
      <c r="G904" s="7" t="str">
        <f>IFERROR(總表[[#This Row],[數量]]*總表[[#This Row],[單價]],"")</f>
        <v/>
      </c>
      <c r="H904" s="8" t="str">
        <f t="shared" si="52"/>
        <v/>
      </c>
    </row>
    <row r="905" spans="1:8" x14ac:dyDescent="0.3">
      <c r="A905" s="4" t="str">
        <f t="shared" si="49"/>
        <v/>
      </c>
      <c r="D905" s="1" t="str">
        <f t="shared" si="48"/>
        <v/>
      </c>
      <c r="E905" s="5" t="str">
        <f t="shared" si="50"/>
        <v/>
      </c>
      <c r="F905" s="6" t="str">
        <f t="shared" si="51"/>
        <v/>
      </c>
      <c r="G905" s="7" t="str">
        <f>IFERROR(總表[[#This Row],[數量]]*總表[[#This Row],[單價]],"")</f>
        <v/>
      </c>
      <c r="H905" s="8" t="str">
        <f t="shared" si="52"/>
        <v/>
      </c>
    </row>
    <row r="906" spans="1:8" x14ac:dyDescent="0.3">
      <c r="A906" s="4" t="str">
        <f t="shared" si="49"/>
        <v/>
      </c>
      <c r="D906" s="1" t="str">
        <f t="shared" si="48"/>
        <v/>
      </c>
      <c r="E906" s="5" t="str">
        <f t="shared" si="50"/>
        <v/>
      </c>
      <c r="F906" s="6" t="str">
        <f t="shared" si="51"/>
        <v/>
      </c>
      <c r="G906" s="7" t="str">
        <f>IFERROR(總表[[#This Row],[數量]]*總表[[#This Row],[單價]],"")</f>
        <v/>
      </c>
      <c r="H906" s="8" t="str">
        <f t="shared" si="52"/>
        <v/>
      </c>
    </row>
    <row r="907" spans="1:8" x14ac:dyDescent="0.3">
      <c r="A907" s="4" t="str">
        <f t="shared" si="49"/>
        <v/>
      </c>
      <c r="D907" s="1" t="str">
        <f t="shared" ref="D907:D970" si="53">_xlfn.IFNA(VLOOKUP(B907,$B:$G,3,0),"")</f>
        <v/>
      </c>
      <c r="E907" s="5" t="str">
        <f t="shared" si="50"/>
        <v/>
      </c>
      <c r="F907" s="6" t="str">
        <f t="shared" si="51"/>
        <v/>
      </c>
      <c r="G907" s="7" t="str">
        <f>IFERROR(總表[[#This Row],[數量]]*總表[[#This Row],[單價]],"")</f>
        <v/>
      </c>
      <c r="H907" s="8" t="str">
        <f t="shared" si="52"/>
        <v/>
      </c>
    </row>
    <row r="908" spans="1:8" x14ac:dyDescent="0.3">
      <c r="A908" s="4" t="str">
        <f t="shared" si="49"/>
        <v/>
      </c>
      <c r="D908" s="1" t="str">
        <f t="shared" si="53"/>
        <v/>
      </c>
      <c r="E908" s="5" t="str">
        <f t="shared" si="50"/>
        <v/>
      </c>
      <c r="F908" s="6" t="str">
        <f t="shared" si="51"/>
        <v/>
      </c>
      <c r="G908" s="7" t="str">
        <f>IFERROR(總表[[#This Row],[數量]]*總表[[#This Row],[單價]],"")</f>
        <v/>
      </c>
      <c r="H908" s="8" t="str">
        <f t="shared" si="52"/>
        <v/>
      </c>
    </row>
    <row r="909" spans="1:8" x14ac:dyDescent="0.3">
      <c r="A909" s="4" t="str">
        <f t="shared" si="49"/>
        <v/>
      </c>
      <c r="D909" s="1" t="str">
        <f t="shared" si="53"/>
        <v/>
      </c>
      <c r="E909" s="5" t="str">
        <f t="shared" si="50"/>
        <v/>
      </c>
      <c r="F909" s="6" t="str">
        <f t="shared" si="51"/>
        <v/>
      </c>
      <c r="G909" s="7" t="str">
        <f>IFERROR(總表[[#This Row],[數量]]*總表[[#This Row],[單價]],"")</f>
        <v/>
      </c>
      <c r="H909" s="8" t="str">
        <f t="shared" si="52"/>
        <v/>
      </c>
    </row>
    <row r="910" spans="1:8" x14ac:dyDescent="0.3">
      <c r="A910" s="4" t="str">
        <f t="shared" si="49"/>
        <v/>
      </c>
      <c r="D910" s="1" t="str">
        <f t="shared" si="53"/>
        <v/>
      </c>
      <c r="E910" s="5" t="str">
        <f t="shared" si="50"/>
        <v/>
      </c>
      <c r="F910" s="6" t="str">
        <f t="shared" si="51"/>
        <v/>
      </c>
      <c r="G910" s="7" t="str">
        <f>IFERROR(總表[[#This Row],[數量]]*總表[[#This Row],[單價]],"")</f>
        <v/>
      </c>
      <c r="H910" s="8" t="str">
        <f t="shared" si="52"/>
        <v/>
      </c>
    </row>
    <row r="911" spans="1:8" x14ac:dyDescent="0.3">
      <c r="A911" s="4" t="str">
        <f t="shared" si="49"/>
        <v/>
      </c>
      <c r="D911" s="1" t="str">
        <f t="shared" si="53"/>
        <v/>
      </c>
      <c r="E911" s="5" t="str">
        <f t="shared" si="50"/>
        <v/>
      </c>
      <c r="F911" s="6" t="str">
        <f t="shared" si="51"/>
        <v/>
      </c>
      <c r="G911" s="7" t="str">
        <f>IFERROR(總表[[#This Row],[數量]]*總表[[#This Row],[單價]],"")</f>
        <v/>
      </c>
      <c r="H911" s="8" t="str">
        <f t="shared" si="52"/>
        <v/>
      </c>
    </row>
    <row r="912" spans="1:8" x14ac:dyDescent="0.3">
      <c r="A912" s="4" t="str">
        <f t="shared" si="49"/>
        <v/>
      </c>
      <c r="D912" s="1" t="str">
        <f t="shared" si="53"/>
        <v/>
      </c>
      <c r="E912" s="5" t="str">
        <f t="shared" si="50"/>
        <v/>
      </c>
      <c r="F912" s="6" t="str">
        <f t="shared" si="51"/>
        <v/>
      </c>
      <c r="G912" s="7" t="str">
        <f>IFERROR(總表[[#This Row],[數量]]*總表[[#This Row],[單價]],"")</f>
        <v/>
      </c>
      <c r="H912" s="8" t="str">
        <f t="shared" si="52"/>
        <v/>
      </c>
    </row>
    <row r="913" spans="1:8" x14ac:dyDescent="0.3">
      <c r="A913" s="4" t="str">
        <f t="shared" si="49"/>
        <v/>
      </c>
      <c r="D913" s="1" t="str">
        <f t="shared" si="53"/>
        <v/>
      </c>
      <c r="E913" s="5" t="str">
        <f t="shared" si="50"/>
        <v/>
      </c>
      <c r="F913" s="6" t="str">
        <f t="shared" si="51"/>
        <v/>
      </c>
      <c r="G913" s="7" t="str">
        <f>IFERROR(總表[[#This Row],[數量]]*總表[[#This Row],[單價]],"")</f>
        <v/>
      </c>
      <c r="H913" s="8" t="str">
        <f t="shared" si="52"/>
        <v/>
      </c>
    </row>
    <row r="914" spans="1:8" x14ac:dyDescent="0.3">
      <c r="A914" s="4" t="str">
        <f t="shared" si="49"/>
        <v/>
      </c>
      <c r="D914" s="1" t="str">
        <f t="shared" si="53"/>
        <v/>
      </c>
      <c r="E914" s="5" t="str">
        <f t="shared" si="50"/>
        <v/>
      </c>
      <c r="F914" s="6" t="str">
        <f t="shared" si="51"/>
        <v/>
      </c>
      <c r="G914" s="7" t="str">
        <f>IFERROR(總表[[#This Row],[數量]]*總表[[#This Row],[單價]],"")</f>
        <v/>
      </c>
      <c r="H914" s="8" t="str">
        <f t="shared" si="52"/>
        <v/>
      </c>
    </row>
    <row r="915" spans="1:8" x14ac:dyDescent="0.3">
      <c r="A915" s="4" t="str">
        <f t="shared" si="49"/>
        <v/>
      </c>
      <c r="D915" s="1" t="str">
        <f t="shared" si="53"/>
        <v/>
      </c>
      <c r="E915" s="5" t="str">
        <f t="shared" si="50"/>
        <v/>
      </c>
      <c r="F915" s="6" t="str">
        <f t="shared" si="51"/>
        <v/>
      </c>
      <c r="G915" s="7" t="str">
        <f>IFERROR(總表[[#This Row],[數量]]*總表[[#This Row],[單價]],"")</f>
        <v/>
      </c>
      <c r="H915" s="8" t="str">
        <f t="shared" si="52"/>
        <v/>
      </c>
    </row>
    <row r="916" spans="1:8" x14ac:dyDescent="0.3">
      <c r="A916" s="4" t="str">
        <f t="shared" si="49"/>
        <v/>
      </c>
      <c r="D916" s="1" t="str">
        <f t="shared" si="53"/>
        <v/>
      </c>
      <c r="E916" s="5" t="str">
        <f t="shared" si="50"/>
        <v/>
      </c>
      <c r="F916" s="6" t="str">
        <f t="shared" si="51"/>
        <v/>
      </c>
      <c r="G916" s="7" t="str">
        <f>IFERROR(總表[[#This Row],[數量]]*總表[[#This Row],[單價]],"")</f>
        <v/>
      </c>
      <c r="H916" s="8" t="str">
        <f t="shared" si="52"/>
        <v/>
      </c>
    </row>
    <row r="917" spans="1:8" x14ac:dyDescent="0.3">
      <c r="A917" s="4" t="str">
        <f t="shared" si="49"/>
        <v/>
      </c>
      <c r="D917" s="1" t="str">
        <f t="shared" si="53"/>
        <v/>
      </c>
      <c r="E917" s="5" t="str">
        <f t="shared" si="50"/>
        <v/>
      </c>
      <c r="F917" s="6" t="str">
        <f t="shared" si="51"/>
        <v/>
      </c>
      <c r="G917" s="7" t="str">
        <f>IFERROR(總表[[#This Row],[數量]]*總表[[#This Row],[單價]],"")</f>
        <v/>
      </c>
      <c r="H917" s="8" t="str">
        <f t="shared" si="52"/>
        <v/>
      </c>
    </row>
    <row r="918" spans="1:8" x14ac:dyDescent="0.3">
      <c r="A918" s="4" t="str">
        <f t="shared" si="49"/>
        <v/>
      </c>
      <c r="D918" s="1" t="str">
        <f t="shared" si="53"/>
        <v/>
      </c>
      <c r="E918" s="5" t="str">
        <f t="shared" si="50"/>
        <v/>
      </c>
      <c r="F918" s="6" t="str">
        <f t="shared" si="51"/>
        <v/>
      </c>
      <c r="G918" s="7" t="str">
        <f>IFERROR(總表[[#This Row],[數量]]*總表[[#This Row],[單價]],"")</f>
        <v/>
      </c>
      <c r="H918" s="8" t="str">
        <f t="shared" si="52"/>
        <v/>
      </c>
    </row>
    <row r="919" spans="1:8" x14ac:dyDescent="0.3">
      <c r="A919" s="4" t="str">
        <f t="shared" si="49"/>
        <v/>
      </c>
      <c r="D919" s="1" t="str">
        <f t="shared" si="53"/>
        <v/>
      </c>
      <c r="E919" s="5" t="str">
        <f t="shared" si="50"/>
        <v/>
      </c>
      <c r="F919" s="6" t="str">
        <f t="shared" si="51"/>
        <v/>
      </c>
      <c r="G919" s="7" t="str">
        <f>IFERROR(總表[[#This Row],[數量]]*總表[[#This Row],[單價]],"")</f>
        <v/>
      </c>
      <c r="H919" s="8" t="str">
        <f t="shared" si="52"/>
        <v/>
      </c>
    </row>
    <row r="920" spans="1:8" x14ac:dyDescent="0.3">
      <c r="A920" s="4" t="str">
        <f t="shared" si="49"/>
        <v/>
      </c>
      <c r="D920" s="1" t="str">
        <f t="shared" si="53"/>
        <v/>
      </c>
      <c r="E920" s="5" t="str">
        <f t="shared" si="50"/>
        <v/>
      </c>
      <c r="F920" s="6" t="str">
        <f t="shared" si="51"/>
        <v/>
      </c>
      <c r="G920" s="7" t="str">
        <f>IFERROR(總表[[#This Row],[數量]]*總表[[#This Row],[單價]],"")</f>
        <v/>
      </c>
      <c r="H920" s="8" t="str">
        <f t="shared" si="52"/>
        <v/>
      </c>
    </row>
    <row r="921" spans="1:8" x14ac:dyDescent="0.3">
      <c r="A921" s="4" t="str">
        <f t="shared" si="49"/>
        <v/>
      </c>
      <c r="D921" s="1" t="str">
        <f t="shared" si="53"/>
        <v/>
      </c>
      <c r="E921" s="5" t="str">
        <f t="shared" si="50"/>
        <v/>
      </c>
      <c r="F921" s="6" t="str">
        <f t="shared" si="51"/>
        <v/>
      </c>
      <c r="G921" s="7" t="str">
        <f>IFERROR(總表[[#This Row],[數量]]*總表[[#This Row],[單價]],"")</f>
        <v/>
      </c>
      <c r="H921" s="8" t="str">
        <f t="shared" si="52"/>
        <v/>
      </c>
    </row>
    <row r="922" spans="1:8" x14ac:dyDescent="0.3">
      <c r="A922" s="4" t="str">
        <f t="shared" si="49"/>
        <v/>
      </c>
      <c r="D922" s="1" t="str">
        <f t="shared" si="53"/>
        <v/>
      </c>
      <c r="E922" s="5" t="str">
        <f t="shared" si="50"/>
        <v/>
      </c>
      <c r="F922" s="6" t="str">
        <f t="shared" si="51"/>
        <v/>
      </c>
      <c r="G922" s="7" t="str">
        <f>IFERROR(總表[[#This Row],[數量]]*總表[[#This Row],[單價]],"")</f>
        <v/>
      </c>
      <c r="H922" s="8" t="str">
        <f t="shared" si="52"/>
        <v/>
      </c>
    </row>
    <row r="923" spans="1:8" x14ac:dyDescent="0.3">
      <c r="A923" s="4" t="str">
        <f t="shared" si="49"/>
        <v/>
      </c>
      <c r="D923" s="1" t="str">
        <f t="shared" si="53"/>
        <v/>
      </c>
      <c r="E923" s="5" t="str">
        <f t="shared" si="50"/>
        <v/>
      </c>
      <c r="F923" s="6" t="str">
        <f t="shared" si="51"/>
        <v/>
      </c>
      <c r="G923" s="7" t="str">
        <f>IFERROR(總表[[#This Row],[數量]]*總表[[#This Row],[單價]],"")</f>
        <v/>
      </c>
      <c r="H923" s="8" t="str">
        <f t="shared" si="52"/>
        <v/>
      </c>
    </row>
    <row r="924" spans="1:8" x14ac:dyDescent="0.3">
      <c r="A924" s="4" t="str">
        <f t="shared" si="49"/>
        <v/>
      </c>
      <c r="D924" s="1" t="str">
        <f t="shared" si="53"/>
        <v/>
      </c>
      <c r="E924" s="5" t="str">
        <f t="shared" si="50"/>
        <v/>
      </c>
      <c r="F924" s="6" t="str">
        <f t="shared" si="51"/>
        <v/>
      </c>
      <c r="G924" s="7" t="str">
        <f>IFERROR(總表[[#This Row],[數量]]*總表[[#This Row],[單價]],"")</f>
        <v/>
      </c>
      <c r="H924" s="8" t="str">
        <f t="shared" si="52"/>
        <v/>
      </c>
    </row>
    <row r="925" spans="1:8" x14ac:dyDescent="0.3">
      <c r="A925" s="4" t="str">
        <f t="shared" si="49"/>
        <v/>
      </c>
      <c r="D925" s="1" t="str">
        <f t="shared" si="53"/>
        <v/>
      </c>
      <c r="E925" s="5" t="str">
        <f t="shared" si="50"/>
        <v/>
      </c>
      <c r="F925" s="6" t="str">
        <f t="shared" si="51"/>
        <v/>
      </c>
      <c r="G925" s="7" t="str">
        <f>IFERROR(總表[[#This Row],[數量]]*總表[[#This Row],[單價]],"")</f>
        <v/>
      </c>
      <c r="H925" s="8" t="str">
        <f t="shared" si="52"/>
        <v/>
      </c>
    </row>
    <row r="926" spans="1:8" x14ac:dyDescent="0.3">
      <c r="A926" s="4" t="str">
        <f t="shared" si="49"/>
        <v/>
      </c>
      <c r="D926" s="1" t="str">
        <f t="shared" si="53"/>
        <v/>
      </c>
      <c r="E926" s="5" t="str">
        <f t="shared" si="50"/>
        <v/>
      </c>
      <c r="F926" s="6" t="str">
        <f t="shared" si="51"/>
        <v/>
      </c>
      <c r="G926" s="7" t="str">
        <f>IFERROR(總表[[#This Row],[數量]]*總表[[#This Row],[單價]],"")</f>
        <v/>
      </c>
      <c r="H926" s="8" t="str">
        <f t="shared" si="52"/>
        <v/>
      </c>
    </row>
    <row r="927" spans="1:8" x14ac:dyDescent="0.3">
      <c r="A927" s="4" t="str">
        <f t="shared" si="49"/>
        <v/>
      </c>
      <c r="D927" s="1" t="str">
        <f t="shared" si="53"/>
        <v/>
      </c>
      <c r="E927" s="5" t="str">
        <f t="shared" si="50"/>
        <v/>
      </c>
      <c r="F927" s="6" t="str">
        <f t="shared" si="51"/>
        <v/>
      </c>
      <c r="G927" s="7" t="str">
        <f>IFERROR(總表[[#This Row],[數量]]*總表[[#This Row],[單價]],"")</f>
        <v/>
      </c>
      <c r="H927" s="8" t="str">
        <f t="shared" si="52"/>
        <v/>
      </c>
    </row>
    <row r="928" spans="1:8" x14ac:dyDescent="0.3">
      <c r="A928" s="4" t="str">
        <f t="shared" si="49"/>
        <v/>
      </c>
      <c r="D928" s="1" t="str">
        <f t="shared" si="53"/>
        <v/>
      </c>
      <c r="E928" s="5" t="str">
        <f t="shared" si="50"/>
        <v/>
      </c>
      <c r="F928" s="6" t="str">
        <f t="shared" si="51"/>
        <v/>
      </c>
      <c r="G928" s="7" t="str">
        <f>IFERROR(總表[[#This Row],[數量]]*總表[[#This Row],[單價]],"")</f>
        <v/>
      </c>
      <c r="H928" s="8" t="str">
        <f t="shared" si="52"/>
        <v/>
      </c>
    </row>
    <row r="929" spans="1:8" x14ac:dyDescent="0.3">
      <c r="A929" s="4" t="str">
        <f t="shared" si="49"/>
        <v/>
      </c>
      <c r="D929" s="1" t="str">
        <f t="shared" si="53"/>
        <v/>
      </c>
      <c r="E929" s="5" t="str">
        <f t="shared" si="50"/>
        <v/>
      </c>
      <c r="F929" s="6" t="str">
        <f t="shared" si="51"/>
        <v/>
      </c>
      <c r="G929" s="7" t="str">
        <f>IFERROR(總表[[#This Row],[數量]]*總表[[#This Row],[單價]],"")</f>
        <v/>
      </c>
      <c r="H929" s="8" t="str">
        <f t="shared" si="52"/>
        <v/>
      </c>
    </row>
    <row r="930" spans="1:8" x14ac:dyDescent="0.3">
      <c r="A930" s="4" t="str">
        <f t="shared" si="49"/>
        <v/>
      </c>
      <c r="D930" s="1" t="str">
        <f t="shared" si="53"/>
        <v/>
      </c>
      <c r="E930" s="5" t="str">
        <f t="shared" si="50"/>
        <v/>
      </c>
      <c r="F930" s="6" t="str">
        <f t="shared" si="51"/>
        <v/>
      </c>
      <c r="G930" s="7" t="str">
        <f>IFERROR(總表[[#This Row],[數量]]*總表[[#This Row],[單價]],"")</f>
        <v/>
      </c>
      <c r="H930" s="8" t="str">
        <f t="shared" si="52"/>
        <v/>
      </c>
    </row>
    <row r="931" spans="1:8" x14ac:dyDescent="0.3">
      <c r="A931" s="4" t="str">
        <f t="shared" si="49"/>
        <v/>
      </c>
      <c r="D931" s="1" t="str">
        <f t="shared" si="53"/>
        <v/>
      </c>
      <c r="E931" s="5" t="str">
        <f t="shared" si="50"/>
        <v/>
      </c>
      <c r="F931" s="6" t="str">
        <f t="shared" si="51"/>
        <v/>
      </c>
      <c r="G931" s="7" t="str">
        <f>IFERROR(總表[[#This Row],[數量]]*總表[[#This Row],[單價]],"")</f>
        <v/>
      </c>
      <c r="H931" s="8" t="str">
        <f t="shared" si="52"/>
        <v/>
      </c>
    </row>
    <row r="932" spans="1:8" x14ac:dyDescent="0.3">
      <c r="A932" s="4" t="str">
        <f t="shared" si="49"/>
        <v/>
      </c>
      <c r="D932" s="1" t="str">
        <f t="shared" si="53"/>
        <v/>
      </c>
      <c r="E932" s="5" t="str">
        <f t="shared" si="50"/>
        <v/>
      </c>
      <c r="F932" s="6" t="str">
        <f t="shared" si="51"/>
        <v/>
      </c>
      <c r="G932" s="7" t="str">
        <f>IFERROR(總表[[#This Row],[數量]]*總表[[#This Row],[單價]],"")</f>
        <v/>
      </c>
      <c r="H932" s="8" t="str">
        <f t="shared" si="52"/>
        <v/>
      </c>
    </row>
    <row r="933" spans="1:8" x14ac:dyDescent="0.3">
      <c r="A933" s="4" t="str">
        <f t="shared" si="49"/>
        <v/>
      </c>
      <c r="D933" s="1" t="str">
        <f t="shared" si="53"/>
        <v/>
      </c>
      <c r="E933" s="5" t="str">
        <f t="shared" si="50"/>
        <v/>
      </c>
      <c r="F933" s="6" t="str">
        <f t="shared" si="51"/>
        <v/>
      </c>
      <c r="G933" s="7" t="str">
        <f>IFERROR(總表[[#This Row],[數量]]*總表[[#This Row],[單價]],"")</f>
        <v/>
      </c>
      <c r="H933" s="8" t="str">
        <f t="shared" si="52"/>
        <v/>
      </c>
    </row>
    <row r="934" spans="1:8" x14ac:dyDescent="0.3">
      <c r="A934" s="4" t="str">
        <f t="shared" si="49"/>
        <v/>
      </c>
      <c r="D934" s="1" t="str">
        <f t="shared" si="53"/>
        <v/>
      </c>
      <c r="E934" s="5" t="str">
        <f t="shared" si="50"/>
        <v/>
      </c>
      <c r="F934" s="6" t="str">
        <f t="shared" si="51"/>
        <v/>
      </c>
      <c r="G934" s="7" t="str">
        <f>IFERROR(總表[[#This Row],[數量]]*總表[[#This Row],[單價]],"")</f>
        <v/>
      </c>
      <c r="H934" s="8" t="str">
        <f t="shared" si="52"/>
        <v/>
      </c>
    </row>
    <row r="935" spans="1:8" x14ac:dyDescent="0.3">
      <c r="A935" s="4" t="str">
        <f t="shared" si="49"/>
        <v/>
      </c>
      <c r="D935" s="1" t="str">
        <f t="shared" si="53"/>
        <v/>
      </c>
      <c r="E935" s="5" t="str">
        <f t="shared" si="50"/>
        <v/>
      </c>
      <c r="F935" s="6" t="str">
        <f t="shared" si="51"/>
        <v/>
      </c>
      <c r="G935" s="7" t="str">
        <f>IFERROR(總表[[#This Row],[數量]]*總表[[#This Row],[單價]],"")</f>
        <v/>
      </c>
      <c r="H935" s="8" t="str">
        <f t="shared" si="52"/>
        <v/>
      </c>
    </row>
    <row r="936" spans="1:8" x14ac:dyDescent="0.3">
      <c r="A936" s="4" t="str">
        <f t="shared" si="49"/>
        <v/>
      </c>
      <c r="D936" s="1" t="str">
        <f t="shared" si="53"/>
        <v/>
      </c>
      <c r="E936" s="5" t="str">
        <f t="shared" si="50"/>
        <v/>
      </c>
      <c r="F936" s="6" t="str">
        <f t="shared" si="51"/>
        <v/>
      </c>
      <c r="G936" s="7" t="str">
        <f>IFERROR(總表[[#This Row],[數量]]*總表[[#This Row],[單價]],"")</f>
        <v/>
      </c>
      <c r="H936" s="8" t="str">
        <f t="shared" si="52"/>
        <v/>
      </c>
    </row>
    <row r="937" spans="1:8" x14ac:dyDescent="0.3">
      <c r="A937" s="4" t="str">
        <f t="shared" si="49"/>
        <v/>
      </c>
      <c r="D937" s="1" t="str">
        <f t="shared" si="53"/>
        <v/>
      </c>
      <c r="E937" s="5" t="str">
        <f t="shared" si="50"/>
        <v/>
      </c>
      <c r="F937" s="6" t="str">
        <f t="shared" si="51"/>
        <v/>
      </c>
      <c r="G937" s="7" t="str">
        <f>IFERROR(總表[[#This Row],[數量]]*總表[[#This Row],[單價]],"")</f>
        <v/>
      </c>
      <c r="H937" s="8" t="str">
        <f t="shared" si="52"/>
        <v/>
      </c>
    </row>
    <row r="938" spans="1:8" x14ac:dyDescent="0.3">
      <c r="A938" s="4" t="str">
        <f t="shared" si="49"/>
        <v/>
      </c>
      <c r="D938" s="1" t="str">
        <f t="shared" si="53"/>
        <v/>
      </c>
      <c r="E938" s="5" t="str">
        <f t="shared" si="50"/>
        <v/>
      </c>
      <c r="F938" s="6" t="str">
        <f t="shared" si="51"/>
        <v/>
      </c>
      <c r="G938" s="7" t="str">
        <f>IFERROR(總表[[#This Row],[數量]]*總表[[#This Row],[單價]],"")</f>
        <v/>
      </c>
      <c r="H938" s="8" t="str">
        <f t="shared" si="52"/>
        <v/>
      </c>
    </row>
    <row r="939" spans="1:8" x14ac:dyDescent="0.3">
      <c r="A939" s="4" t="str">
        <f t="shared" si="49"/>
        <v/>
      </c>
      <c r="D939" s="1" t="str">
        <f t="shared" si="53"/>
        <v/>
      </c>
      <c r="E939" s="5" t="str">
        <f t="shared" si="50"/>
        <v/>
      </c>
      <c r="F939" s="6" t="str">
        <f t="shared" si="51"/>
        <v/>
      </c>
      <c r="G939" s="7" t="str">
        <f>IFERROR(總表[[#This Row],[數量]]*總表[[#This Row],[單價]],"")</f>
        <v/>
      </c>
      <c r="H939" s="8" t="str">
        <f t="shared" si="52"/>
        <v/>
      </c>
    </row>
    <row r="940" spans="1:8" x14ac:dyDescent="0.3">
      <c r="A940" s="4" t="str">
        <f t="shared" si="49"/>
        <v/>
      </c>
      <c r="D940" s="1" t="str">
        <f t="shared" si="53"/>
        <v/>
      </c>
      <c r="E940" s="5" t="str">
        <f t="shared" si="50"/>
        <v/>
      </c>
      <c r="F940" s="6" t="str">
        <f t="shared" si="51"/>
        <v/>
      </c>
      <c r="G940" s="7" t="str">
        <f>IFERROR(總表[[#This Row],[數量]]*總表[[#This Row],[單價]],"")</f>
        <v/>
      </c>
      <c r="H940" s="8" t="str">
        <f t="shared" si="52"/>
        <v/>
      </c>
    </row>
    <row r="941" spans="1:8" x14ac:dyDescent="0.3">
      <c r="A941" s="4" t="str">
        <f t="shared" si="49"/>
        <v/>
      </c>
      <c r="D941" s="1" t="str">
        <f t="shared" si="53"/>
        <v/>
      </c>
      <c r="E941" s="5" t="str">
        <f t="shared" si="50"/>
        <v/>
      </c>
      <c r="F941" s="6" t="str">
        <f t="shared" si="51"/>
        <v/>
      </c>
      <c r="G941" s="7" t="str">
        <f>IFERROR(總表[[#This Row],[數量]]*總表[[#This Row],[單價]],"")</f>
        <v/>
      </c>
      <c r="H941" s="8" t="str">
        <f t="shared" si="52"/>
        <v/>
      </c>
    </row>
    <row r="942" spans="1:8" x14ac:dyDescent="0.3">
      <c r="A942" s="4" t="str">
        <f t="shared" si="49"/>
        <v/>
      </c>
      <c r="D942" s="1" t="str">
        <f t="shared" si="53"/>
        <v/>
      </c>
      <c r="E942" s="5" t="str">
        <f t="shared" si="50"/>
        <v/>
      </c>
      <c r="F942" s="6" t="str">
        <f t="shared" si="51"/>
        <v/>
      </c>
      <c r="G942" s="7" t="str">
        <f>IFERROR(總表[[#This Row],[數量]]*總表[[#This Row],[單價]],"")</f>
        <v/>
      </c>
      <c r="H942" s="8" t="str">
        <f t="shared" si="52"/>
        <v/>
      </c>
    </row>
    <row r="943" spans="1:8" x14ac:dyDescent="0.3">
      <c r="A943" s="4" t="str">
        <f t="shared" si="49"/>
        <v/>
      </c>
      <c r="D943" s="1" t="str">
        <f t="shared" si="53"/>
        <v/>
      </c>
      <c r="E943" s="5" t="str">
        <f t="shared" si="50"/>
        <v/>
      </c>
      <c r="F943" s="6" t="str">
        <f t="shared" si="51"/>
        <v/>
      </c>
      <c r="G943" s="7" t="str">
        <f>IFERROR(總表[[#This Row],[數量]]*總表[[#This Row],[單價]],"")</f>
        <v/>
      </c>
      <c r="H943" s="8" t="str">
        <f t="shared" si="52"/>
        <v/>
      </c>
    </row>
    <row r="944" spans="1:8" x14ac:dyDescent="0.3">
      <c r="A944" s="4" t="str">
        <f t="shared" si="49"/>
        <v/>
      </c>
      <c r="D944" s="1" t="str">
        <f t="shared" si="53"/>
        <v/>
      </c>
      <c r="E944" s="5" t="str">
        <f t="shared" si="50"/>
        <v/>
      </c>
      <c r="F944" s="6" t="str">
        <f t="shared" si="51"/>
        <v/>
      </c>
      <c r="G944" s="7" t="str">
        <f>IFERROR(總表[[#This Row],[數量]]*總表[[#This Row],[單價]],"")</f>
        <v/>
      </c>
      <c r="H944" s="8" t="str">
        <f t="shared" si="52"/>
        <v/>
      </c>
    </row>
    <row r="945" spans="1:8" x14ac:dyDescent="0.3">
      <c r="A945" s="4" t="str">
        <f t="shared" si="49"/>
        <v/>
      </c>
      <c r="D945" s="1" t="str">
        <f t="shared" si="53"/>
        <v/>
      </c>
      <c r="E945" s="5" t="str">
        <f t="shared" si="50"/>
        <v/>
      </c>
      <c r="F945" s="6" t="str">
        <f t="shared" si="51"/>
        <v/>
      </c>
      <c r="G945" s="7" t="str">
        <f>IFERROR(總表[[#This Row],[數量]]*總表[[#This Row],[單價]],"")</f>
        <v/>
      </c>
      <c r="H945" s="8" t="str">
        <f t="shared" si="52"/>
        <v/>
      </c>
    </row>
    <row r="946" spans="1:8" x14ac:dyDescent="0.3">
      <c r="A946" s="4" t="str">
        <f t="shared" si="49"/>
        <v/>
      </c>
      <c r="D946" s="1" t="str">
        <f t="shared" si="53"/>
        <v/>
      </c>
      <c r="E946" s="5" t="str">
        <f t="shared" si="50"/>
        <v/>
      </c>
      <c r="F946" s="6" t="str">
        <f t="shared" si="51"/>
        <v/>
      </c>
      <c r="G946" s="7" t="str">
        <f>IFERROR(總表[[#This Row],[數量]]*總表[[#This Row],[單價]],"")</f>
        <v/>
      </c>
      <c r="H946" s="8" t="str">
        <f t="shared" si="52"/>
        <v/>
      </c>
    </row>
    <row r="947" spans="1:8" x14ac:dyDescent="0.3">
      <c r="A947" s="4" t="str">
        <f t="shared" si="49"/>
        <v/>
      </c>
      <c r="D947" s="1" t="str">
        <f t="shared" si="53"/>
        <v/>
      </c>
      <c r="E947" s="5" t="str">
        <f t="shared" si="50"/>
        <v/>
      </c>
      <c r="F947" s="6" t="str">
        <f t="shared" si="51"/>
        <v/>
      </c>
      <c r="G947" s="7" t="str">
        <f>IFERROR(總表[[#This Row],[數量]]*總表[[#This Row],[單價]],"")</f>
        <v/>
      </c>
      <c r="H947" s="8" t="str">
        <f t="shared" si="52"/>
        <v/>
      </c>
    </row>
    <row r="948" spans="1:8" x14ac:dyDescent="0.3">
      <c r="A948" s="4" t="str">
        <f t="shared" si="49"/>
        <v/>
      </c>
      <c r="D948" s="1" t="str">
        <f t="shared" si="53"/>
        <v/>
      </c>
      <c r="E948" s="5" t="str">
        <f t="shared" si="50"/>
        <v/>
      </c>
      <c r="F948" s="6" t="str">
        <f t="shared" si="51"/>
        <v/>
      </c>
      <c r="G948" s="7" t="str">
        <f>IFERROR(總表[[#This Row],[數量]]*總表[[#This Row],[單價]],"")</f>
        <v/>
      </c>
      <c r="H948" s="8" t="str">
        <f t="shared" si="52"/>
        <v/>
      </c>
    </row>
    <row r="949" spans="1:8" x14ac:dyDescent="0.3">
      <c r="A949" s="4" t="str">
        <f t="shared" si="49"/>
        <v/>
      </c>
      <c r="D949" s="1" t="str">
        <f t="shared" si="53"/>
        <v/>
      </c>
      <c r="E949" s="5" t="str">
        <f t="shared" si="50"/>
        <v/>
      </c>
      <c r="F949" s="6" t="str">
        <f t="shared" si="51"/>
        <v/>
      </c>
      <c r="G949" s="7" t="str">
        <f>IFERROR(總表[[#This Row],[數量]]*總表[[#This Row],[單價]],"")</f>
        <v/>
      </c>
      <c r="H949" s="8" t="str">
        <f t="shared" si="52"/>
        <v/>
      </c>
    </row>
    <row r="950" spans="1:8" x14ac:dyDescent="0.3">
      <c r="A950" s="4" t="str">
        <f t="shared" si="49"/>
        <v/>
      </c>
      <c r="D950" s="1" t="str">
        <f t="shared" si="53"/>
        <v/>
      </c>
      <c r="E950" s="5" t="str">
        <f t="shared" si="50"/>
        <v/>
      </c>
      <c r="F950" s="6" t="str">
        <f t="shared" si="51"/>
        <v/>
      </c>
      <c r="G950" s="7" t="str">
        <f>IFERROR(總表[[#This Row],[數量]]*總表[[#This Row],[單價]],"")</f>
        <v/>
      </c>
      <c r="H950" s="8" t="str">
        <f t="shared" si="52"/>
        <v/>
      </c>
    </row>
    <row r="951" spans="1:8" x14ac:dyDescent="0.3">
      <c r="A951" s="4" t="str">
        <f t="shared" si="49"/>
        <v/>
      </c>
      <c r="D951" s="1" t="str">
        <f t="shared" si="53"/>
        <v/>
      </c>
      <c r="E951" s="5" t="str">
        <f t="shared" si="50"/>
        <v/>
      </c>
      <c r="F951" s="6" t="str">
        <f t="shared" si="51"/>
        <v/>
      </c>
      <c r="G951" s="7" t="str">
        <f>IFERROR(總表[[#This Row],[數量]]*總表[[#This Row],[單價]],"")</f>
        <v/>
      </c>
      <c r="H951" s="8" t="str">
        <f t="shared" si="52"/>
        <v/>
      </c>
    </row>
    <row r="952" spans="1:8" x14ac:dyDescent="0.3">
      <c r="A952" s="4" t="str">
        <f t="shared" si="49"/>
        <v/>
      </c>
      <c r="D952" s="1" t="str">
        <f t="shared" si="53"/>
        <v/>
      </c>
      <c r="E952" s="5" t="str">
        <f t="shared" si="50"/>
        <v/>
      </c>
      <c r="F952" s="6" t="str">
        <f t="shared" si="51"/>
        <v/>
      </c>
      <c r="G952" s="7" t="str">
        <f>IFERROR(總表[[#This Row],[數量]]*總表[[#This Row],[單價]],"")</f>
        <v/>
      </c>
      <c r="H952" s="8" t="str">
        <f t="shared" si="52"/>
        <v/>
      </c>
    </row>
    <row r="953" spans="1:8" x14ac:dyDescent="0.3">
      <c r="A953" s="4" t="str">
        <f t="shared" si="49"/>
        <v/>
      </c>
      <c r="D953" s="1" t="str">
        <f t="shared" si="53"/>
        <v/>
      </c>
      <c r="E953" s="5" t="str">
        <f t="shared" si="50"/>
        <v/>
      </c>
      <c r="F953" s="6" t="str">
        <f t="shared" si="51"/>
        <v/>
      </c>
      <c r="G953" s="7" t="str">
        <f>IFERROR(總表[[#This Row],[數量]]*總表[[#This Row],[單價]],"")</f>
        <v/>
      </c>
      <c r="H953" s="8" t="str">
        <f t="shared" si="52"/>
        <v/>
      </c>
    </row>
    <row r="954" spans="1:8" x14ac:dyDescent="0.3">
      <c r="A954" s="4" t="str">
        <f t="shared" si="49"/>
        <v/>
      </c>
      <c r="D954" s="1" t="str">
        <f t="shared" si="53"/>
        <v/>
      </c>
      <c r="E954" s="5" t="str">
        <f t="shared" si="50"/>
        <v/>
      </c>
      <c r="F954" s="6" t="str">
        <f t="shared" si="51"/>
        <v/>
      </c>
      <c r="G954" s="7" t="str">
        <f>IFERROR(總表[[#This Row],[數量]]*總表[[#This Row],[單價]],"")</f>
        <v/>
      </c>
      <c r="H954" s="8" t="str">
        <f t="shared" si="52"/>
        <v/>
      </c>
    </row>
    <row r="955" spans="1:8" x14ac:dyDescent="0.3">
      <c r="A955" s="4" t="str">
        <f t="shared" si="49"/>
        <v/>
      </c>
      <c r="D955" s="1" t="str">
        <f t="shared" si="53"/>
        <v/>
      </c>
      <c r="E955" s="5" t="str">
        <f t="shared" si="50"/>
        <v/>
      </c>
      <c r="F955" s="6" t="str">
        <f t="shared" si="51"/>
        <v/>
      </c>
      <c r="G955" s="7" t="str">
        <f>IFERROR(總表[[#This Row],[數量]]*總表[[#This Row],[單價]],"")</f>
        <v/>
      </c>
      <c r="H955" s="8" t="str">
        <f t="shared" si="52"/>
        <v/>
      </c>
    </row>
    <row r="956" spans="1:8" x14ac:dyDescent="0.3">
      <c r="A956" s="4" t="str">
        <f t="shared" si="49"/>
        <v/>
      </c>
      <c r="D956" s="1" t="str">
        <f t="shared" si="53"/>
        <v/>
      </c>
      <c r="E956" s="5" t="str">
        <f t="shared" si="50"/>
        <v/>
      </c>
      <c r="F956" s="6" t="str">
        <f t="shared" si="51"/>
        <v/>
      </c>
      <c r="G956" s="7" t="str">
        <f>IFERROR(總表[[#This Row],[數量]]*總表[[#This Row],[單價]],"")</f>
        <v/>
      </c>
      <c r="H956" s="8" t="str">
        <f t="shared" si="52"/>
        <v/>
      </c>
    </row>
    <row r="957" spans="1:8" x14ac:dyDescent="0.3">
      <c r="A957" s="4" t="str">
        <f t="shared" si="49"/>
        <v/>
      </c>
      <c r="D957" s="1" t="str">
        <f t="shared" si="53"/>
        <v/>
      </c>
      <c r="E957" s="5" t="str">
        <f t="shared" si="50"/>
        <v/>
      </c>
      <c r="F957" s="6" t="str">
        <f t="shared" si="51"/>
        <v/>
      </c>
      <c r="G957" s="7" t="str">
        <f>IFERROR(總表[[#This Row],[數量]]*總表[[#This Row],[單價]],"")</f>
        <v/>
      </c>
      <c r="H957" s="8" t="str">
        <f t="shared" si="52"/>
        <v/>
      </c>
    </row>
    <row r="958" spans="1:8" x14ac:dyDescent="0.3">
      <c r="A958" s="4" t="str">
        <f t="shared" si="49"/>
        <v/>
      </c>
      <c r="D958" s="1" t="str">
        <f t="shared" si="53"/>
        <v/>
      </c>
      <c r="E958" s="5" t="str">
        <f t="shared" si="50"/>
        <v/>
      </c>
      <c r="F958" s="6" t="str">
        <f t="shared" si="51"/>
        <v/>
      </c>
      <c r="G958" s="7" t="str">
        <f>IFERROR(總表[[#This Row],[數量]]*總表[[#This Row],[單價]],"")</f>
        <v/>
      </c>
      <c r="H958" s="8" t="str">
        <f t="shared" si="52"/>
        <v/>
      </c>
    </row>
    <row r="959" spans="1:8" x14ac:dyDescent="0.3">
      <c r="A959" s="4" t="str">
        <f t="shared" si="49"/>
        <v/>
      </c>
      <c r="D959" s="1" t="str">
        <f t="shared" si="53"/>
        <v/>
      </c>
      <c r="E959" s="5" t="str">
        <f t="shared" si="50"/>
        <v/>
      </c>
      <c r="F959" s="6" t="str">
        <f t="shared" si="51"/>
        <v/>
      </c>
      <c r="G959" s="7" t="str">
        <f>IFERROR(總表[[#This Row],[數量]]*總表[[#This Row],[單價]],"")</f>
        <v/>
      </c>
      <c r="H959" s="8" t="str">
        <f t="shared" si="52"/>
        <v/>
      </c>
    </row>
    <row r="960" spans="1:8" x14ac:dyDescent="0.3">
      <c r="A960" s="4" t="str">
        <f t="shared" si="49"/>
        <v/>
      </c>
      <c r="D960" s="1" t="str">
        <f t="shared" si="53"/>
        <v/>
      </c>
      <c r="E960" s="5" t="str">
        <f t="shared" si="50"/>
        <v/>
      </c>
      <c r="F960" s="6" t="str">
        <f t="shared" si="51"/>
        <v/>
      </c>
      <c r="G960" s="7" t="str">
        <f>IFERROR(總表[[#This Row],[數量]]*總表[[#This Row],[單價]],"")</f>
        <v/>
      </c>
      <c r="H960" s="8" t="str">
        <f t="shared" si="52"/>
        <v/>
      </c>
    </row>
    <row r="961" spans="1:8" x14ac:dyDescent="0.3">
      <c r="A961" s="4" t="str">
        <f t="shared" si="49"/>
        <v/>
      </c>
      <c r="D961" s="1" t="str">
        <f t="shared" si="53"/>
        <v/>
      </c>
      <c r="E961" s="5" t="str">
        <f t="shared" si="50"/>
        <v/>
      </c>
      <c r="F961" s="6" t="str">
        <f t="shared" si="51"/>
        <v/>
      </c>
      <c r="G961" s="7" t="str">
        <f>IFERROR(總表[[#This Row],[數量]]*總表[[#This Row],[單價]],"")</f>
        <v/>
      </c>
      <c r="H961" s="8" t="str">
        <f t="shared" si="52"/>
        <v/>
      </c>
    </row>
    <row r="962" spans="1:8" x14ac:dyDescent="0.3">
      <c r="A962" s="4" t="str">
        <f t="shared" ref="A962:A1000" si="54">IF(B962="","",A961)</f>
        <v/>
      </c>
      <c r="D962" s="1" t="str">
        <f t="shared" si="53"/>
        <v/>
      </c>
      <c r="E962" s="5" t="str">
        <f t="shared" ref="E962:E1000" si="55">_xlfn.IFNA(VLOOKUP(B962,$B:$G,4,0),"")</f>
        <v/>
      </c>
      <c r="F962" s="6" t="str">
        <f t="shared" ref="F962:F1000" si="56">_xlfn.IFNA(VLOOKUP(B962,$B:$G,5,0),"")</f>
        <v/>
      </c>
      <c r="G962" s="7" t="str">
        <f>IFERROR(總表[[#This Row],[數量]]*總表[[#This Row],[單價]],"")</f>
        <v/>
      </c>
      <c r="H962" s="8" t="str">
        <f t="shared" ref="H962:H1000" si="57">IF(A962&lt;&gt;A961,SUMIF(A:A, A962, G:G),"")</f>
        <v/>
      </c>
    </row>
    <row r="963" spans="1:8" x14ac:dyDescent="0.3">
      <c r="A963" s="4" t="str">
        <f t="shared" si="54"/>
        <v/>
      </c>
      <c r="D963" s="1" t="str">
        <f t="shared" si="53"/>
        <v/>
      </c>
      <c r="E963" s="5" t="str">
        <f t="shared" si="55"/>
        <v/>
      </c>
      <c r="F963" s="6" t="str">
        <f t="shared" si="56"/>
        <v/>
      </c>
      <c r="G963" s="7" t="str">
        <f>IFERROR(總表[[#This Row],[數量]]*總表[[#This Row],[單價]],"")</f>
        <v/>
      </c>
      <c r="H963" s="8" t="str">
        <f t="shared" si="57"/>
        <v/>
      </c>
    </row>
    <row r="964" spans="1:8" x14ac:dyDescent="0.3">
      <c r="A964" s="4" t="str">
        <f t="shared" si="54"/>
        <v/>
      </c>
      <c r="D964" s="1" t="str">
        <f t="shared" si="53"/>
        <v/>
      </c>
      <c r="E964" s="5" t="str">
        <f t="shared" si="55"/>
        <v/>
      </c>
      <c r="F964" s="6" t="str">
        <f t="shared" si="56"/>
        <v/>
      </c>
      <c r="G964" s="7" t="str">
        <f>IFERROR(總表[[#This Row],[數量]]*總表[[#This Row],[單價]],"")</f>
        <v/>
      </c>
      <c r="H964" s="8" t="str">
        <f t="shared" si="57"/>
        <v/>
      </c>
    </row>
    <row r="965" spans="1:8" x14ac:dyDescent="0.3">
      <c r="A965" s="4" t="str">
        <f t="shared" si="54"/>
        <v/>
      </c>
      <c r="D965" s="1" t="str">
        <f t="shared" si="53"/>
        <v/>
      </c>
      <c r="E965" s="5" t="str">
        <f t="shared" si="55"/>
        <v/>
      </c>
      <c r="F965" s="6" t="str">
        <f t="shared" si="56"/>
        <v/>
      </c>
      <c r="G965" s="7" t="str">
        <f>IFERROR(總表[[#This Row],[數量]]*總表[[#This Row],[單價]],"")</f>
        <v/>
      </c>
      <c r="H965" s="8" t="str">
        <f t="shared" si="57"/>
        <v/>
      </c>
    </row>
    <row r="966" spans="1:8" x14ac:dyDescent="0.3">
      <c r="A966" s="4" t="str">
        <f t="shared" si="54"/>
        <v/>
      </c>
      <c r="D966" s="1" t="str">
        <f t="shared" si="53"/>
        <v/>
      </c>
      <c r="E966" s="5" t="str">
        <f t="shared" si="55"/>
        <v/>
      </c>
      <c r="F966" s="6" t="str">
        <f t="shared" si="56"/>
        <v/>
      </c>
      <c r="G966" s="7" t="str">
        <f>IFERROR(總表[[#This Row],[數量]]*總表[[#This Row],[單價]],"")</f>
        <v/>
      </c>
      <c r="H966" s="8" t="str">
        <f t="shared" si="57"/>
        <v/>
      </c>
    </row>
    <row r="967" spans="1:8" x14ac:dyDescent="0.3">
      <c r="A967" s="4" t="str">
        <f t="shared" si="54"/>
        <v/>
      </c>
      <c r="D967" s="1" t="str">
        <f t="shared" si="53"/>
        <v/>
      </c>
      <c r="E967" s="5" t="str">
        <f t="shared" si="55"/>
        <v/>
      </c>
      <c r="F967" s="6" t="str">
        <f t="shared" si="56"/>
        <v/>
      </c>
      <c r="G967" s="7" t="str">
        <f>IFERROR(總表[[#This Row],[數量]]*總表[[#This Row],[單價]],"")</f>
        <v/>
      </c>
      <c r="H967" s="8" t="str">
        <f t="shared" si="57"/>
        <v/>
      </c>
    </row>
    <row r="968" spans="1:8" x14ac:dyDescent="0.3">
      <c r="A968" s="4" t="str">
        <f t="shared" si="54"/>
        <v/>
      </c>
      <c r="D968" s="1" t="str">
        <f t="shared" si="53"/>
        <v/>
      </c>
      <c r="E968" s="5" t="str">
        <f t="shared" si="55"/>
        <v/>
      </c>
      <c r="F968" s="6" t="str">
        <f t="shared" si="56"/>
        <v/>
      </c>
      <c r="G968" s="7" t="str">
        <f>IFERROR(總表[[#This Row],[數量]]*總表[[#This Row],[單價]],"")</f>
        <v/>
      </c>
      <c r="H968" s="8" t="str">
        <f t="shared" si="57"/>
        <v/>
      </c>
    </row>
    <row r="969" spans="1:8" x14ac:dyDescent="0.3">
      <c r="A969" s="4" t="str">
        <f t="shared" si="54"/>
        <v/>
      </c>
      <c r="D969" s="1" t="str">
        <f t="shared" si="53"/>
        <v/>
      </c>
      <c r="E969" s="5" t="str">
        <f t="shared" si="55"/>
        <v/>
      </c>
      <c r="F969" s="6" t="str">
        <f t="shared" si="56"/>
        <v/>
      </c>
      <c r="G969" s="7" t="str">
        <f>IFERROR(總表[[#This Row],[數量]]*總表[[#This Row],[單價]],"")</f>
        <v/>
      </c>
      <c r="H969" s="8" t="str">
        <f t="shared" si="57"/>
        <v/>
      </c>
    </row>
    <row r="970" spans="1:8" x14ac:dyDescent="0.3">
      <c r="A970" s="4" t="str">
        <f t="shared" si="54"/>
        <v/>
      </c>
      <c r="D970" s="1" t="str">
        <f t="shared" si="53"/>
        <v/>
      </c>
      <c r="E970" s="5" t="str">
        <f t="shared" si="55"/>
        <v/>
      </c>
      <c r="F970" s="6" t="str">
        <f t="shared" si="56"/>
        <v/>
      </c>
      <c r="G970" s="7" t="str">
        <f>IFERROR(總表[[#This Row],[數量]]*總表[[#This Row],[單價]],"")</f>
        <v/>
      </c>
      <c r="H970" s="8" t="str">
        <f t="shared" si="57"/>
        <v/>
      </c>
    </row>
    <row r="971" spans="1:8" x14ac:dyDescent="0.3">
      <c r="A971" s="4" t="str">
        <f t="shared" si="54"/>
        <v/>
      </c>
      <c r="D971" s="1" t="str">
        <f t="shared" ref="D971:D1000" si="58">_xlfn.IFNA(VLOOKUP(B971,$B:$G,3,0),"")</f>
        <v/>
      </c>
      <c r="E971" s="5" t="str">
        <f t="shared" si="55"/>
        <v/>
      </c>
      <c r="F971" s="6" t="str">
        <f t="shared" si="56"/>
        <v/>
      </c>
      <c r="G971" s="7" t="str">
        <f>IFERROR(總表[[#This Row],[數量]]*總表[[#This Row],[單價]],"")</f>
        <v/>
      </c>
      <c r="H971" s="8" t="str">
        <f t="shared" si="57"/>
        <v/>
      </c>
    </row>
    <row r="972" spans="1:8" x14ac:dyDescent="0.3">
      <c r="A972" s="4" t="str">
        <f t="shared" si="54"/>
        <v/>
      </c>
      <c r="D972" s="1" t="str">
        <f t="shared" si="58"/>
        <v/>
      </c>
      <c r="E972" s="5" t="str">
        <f t="shared" si="55"/>
        <v/>
      </c>
      <c r="F972" s="6" t="str">
        <f t="shared" si="56"/>
        <v/>
      </c>
      <c r="G972" s="7" t="str">
        <f>IFERROR(總表[[#This Row],[數量]]*總表[[#This Row],[單價]],"")</f>
        <v/>
      </c>
      <c r="H972" s="8" t="str">
        <f t="shared" si="57"/>
        <v/>
      </c>
    </row>
    <row r="973" spans="1:8" x14ac:dyDescent="0.3">
      <c r="A973" s="4" t="str">
        <f t="shared" si="54"/>
        <v/>
      </c>
      <c r="D973" s="1" t="str">
        <f t="shared" si="58"/>
        <v/>
      </c>
      <c r="E973" s="5" t="str">
        <f t="shared" si="55"/>
        <v/>
      </c>
      <c r="F973" s="6" t="str">
        <f t="shared" si="56"/>
        <v/>
      </c>
      <c r="G973" s="7" t="str">
        <f>IFERROR(總表[[#This Row],[數量]]*總表[[#This Row],[單價]],"")</f>
        <v/>
      </c>
      <c r="H973" s="8" t="str">
        <f t="shared" si="57"/>
        <v/>
      </c>
    </row>
    <row r="974" spans="1:8" x14ac:dyDescent="0.3">
      <c r="A974" s="4" t="str">
        <f t="shared" si="54"/>
        <v/>
      </c>
      <c r="D974" s="1" t="str">
        <f t="shared" si="58"/>
        <v/>
      </c>
      <c r="E974" s="5" t="str">
        <f t="shared" si="55"/>
        <v/>
      </c>
      <c r="F974" s="6" t="str">
        <f t="shared" si="56"/>
        <v/>
      </c>
      <c r="G974" s="7" t="str">
        <f>IFERROR(總表[[#This Row],[數量]]*總表[[#This Row],[單價]],"")</f>
        <v/>
      </c>
      <c r="H974" s="8" t="str">
        <f t="shared" si="57"/>
        <v/>
      </c>
    </row>
    <row r="975" spans="1:8" x14ac:dyDescent="0.3">
      <c r="A975" s="4" t="str">
        <f t="shared" si="54"/>
        <v/>
      </c>
      <c r="D975" s="1" t="str">
        <f t="shared" si="58"/>
        <v/>
      </c>
      <c r="E975" s="5" t="str">
        <f t="shared" si="55"/>
        <v/>
      </c>
      <c r="F975" s="6" t="str">
        <f t="shared" si="56"/>
        <v/>
      </c>
      <c r="G975" s="7" t="str">
        <f>IFERROR(總表[[#This Row],[數量]]*總表[[#This Row],[單價]],"")</f>
        <v/>
      </c>
      <c r="H975" s="8" t="str">
        <f t="shared" si="57"/>
        <v/>
      </c>
    </row>
    <row r="976" spans="1:8" x14ac:dyDescent="0.3">
      <c r="A976" s="4" t="str">
        <f t="shared" si="54"/>
        <v/>
      </c>
      <c r="D976" s="1" t="str">
        <f t="shared" si="58"/>
        <v/>
      </c>
      <c r="E976" s="5" t="str">
        <f t="shared" si="55"/>
        <v/>
      </c>
      <c r="F976" s="6" t="str">
        <f t="shared" si="56"/>
        <v/>
      </c>
      <c r="G976" s="7" t="str">
        <f>IFERROR(總表[[#This Row],[數量]]*總表[[#This Row],[單價]],"")</f>
        <v/>
      </c>
      <c r="H976" s="8" t="str">
        <f t="shared" si="57"/>
        <v/>
      </c>
    </row>
    <row r="977" spans="1:8" x14ac:dyDescent="0.3">
      <c r="A977" s="4" t="str">
        <f t="shared" si="54"/>
        <v/>
      </c>
      <c r="D977" s="1" t="str">
        <f t="shared" si="58"/>
        <v/>
      </c>
      <c r="E977" s="5" t="str">
        <f t="shared" si="55"/>
        <v/>
      </c>
      <c r="F977" s="6" t="str">
        <f t="shared" si="56"/>
        <v/>
      </c>
      <c r="G977" s="7" t="str">
        <f>IFERROR(總表[[#This Row],[數量]]*總表[[#This Row],[單價]],"")</f>
        <v/>
      </c>
      <c r="H977" s="8" t="str">
        <f t="shared" si="57"/>
        <v/>
      </c>
    </row>
    <row r="978" spans="1:8" x14ac:dyDescent="0.3">
      <c r="A978" s="4" t="str">
        <f t="shared" si="54"/>
        <v/>
      </c>
      <c r="D978" s="1" t="str">
        <f t="shared" si="58"/>
        <v/>
      </c>
      <c r="E978" s="5" t="str">
        <f t="shared" si="55"/>
        <v/>
      </c>
      <c r="F978" s="6" t="str">
        <f t="shared" si="56"/>
        <v/>
      </c>
      <c r="G978" s="7" t="str">
        <f>IFERROR(總表[[#This Row],[數量]]*總表[[#This Row],[單價]],"")</f>
        <v/>
      </c>
      <c r="H978" s="8" t="str">
        <f t="shared" si="57"/>
        <v/>
      </c>
    </row>
    <row r="979" spans="1:8" x14ac:dyDescent="0.3">
      <c r="A979" s="4" t="str">
        <f t="shared" si="54"/>
        <v/>
      </c>
      <c r="D979" s="1" t="str">
        <f t="shared" si="58"/>
        <v/>
      </c>
      <c r="E979" s="5" t="str">
        <f t="shared" si="55"/>
        <v/>
      </c>
      <c r="F979" s="6" t="str">
        <f t="shared" si="56"/>
        <v/>
      </c>
      <c r="G979" s="7" t="str">
        <f>IFERROR(總表[[#This Row],[數量]]*總表[[#This Row],[單價]],"")</f>
        <v/>
      </c>
      <c r="H979" s="8" t="str">
        <f t="shared" si="57"/>
        <v/>
      </c>
    </row>
    <row r="980" spans="1:8" x14ac:dyDescent="0.3">
      <c r="A980" s="4" t="str">
        <f t="shared" si="54"/>
        <v/>
      </c>
      <c r="D980" s="1" t="str">
        <f t="shared" si="58"/>
        <v/>
      </c>
      <c r="E980" s="5" t="str">
        <f t="shared" si="55"/>
        <v/>
      </c>
      <c r="F980" s="6" t="str">
        <f t="shared" si="56"/>
        <v/>
      </c>
      <c r="G980" s="7" t="str">
        <f>IFERROR(總表[[#This Row],[數量]]*總表[[#This Row],[單價]],"")</f>
        <v/>
      </c>
      <c r="H980" s="8" t="str">
        <f t="shared" si="57"/>
        <v/>
      </c>
    </row>
    <row r="981" spans="1:8" x14ac:dyDescent="0.3">
      <c r="A981" s="4" t="str">
        <f t="shared" si="54"/>
        <v/>
      </c>
      <c r="D981" s="1" t="str">
        <f t="shared" si="58"/>
        <v/>
      </c>
      <c r="E981" s="5" t="str">
        <f t="shared" si="55"/>
        <v/>
      </c>
      <c r="F981" s="6" t="str">
        <f t="shared" si="56"/>
        <v/>
      </c>
      <c r="G981" s="7" t="str">
        <f>IFERROR(總表[[#This Row],[數量]]*總表[[#This Row],[單價]],"")</f>
        <v/>
      </c>
      <c r="H981" s="8" t="str">
        <f t="shared" si="57"/>
        <v/>
      </c>
    </row>
    <row r="982" spans="1:8" x14ac:dyDescent="0.3">
      <c r="A982" s="4" t="str">
        <f t="shared" si="54"/>
        <v/>
      </c>
      <c r="D982" s="1" t="str">
        <f t="shared" si="58"/>
        <v/>
      </c>
      <c r="E982" s="5" t="str">
        <f t="shared" si="55"/>
        <v/>
      </c>
      <c r="F982" s="6" t="str">
        <f t="shared" si="56"/>
        <v/>
      </c>
      <c r="G982" s="7" t="str">
        <f>IFERROR(總表[[#This Row],[數量]]*總表[[#This Row],[單價]],"")</f>
        <v/>
      </c>
      <c r="H982" s="8" t="str">
        <f t="shared" si="57"/>
        <v/>
      </c>
    </row>
    <row r="983" spans="1:8" x14ac:dyDescent="0.3">
      <c r="A983" s="4" t="str">
        <f t="shared" si="54"/>
        <v/>
      </c>
      <c r="D983" s="1" t="str">
        <f t="shared" si="58"/>
        <v/>
      </c>
      <c r="E983" s="5" t="str">
        <f t="shared" si="55"/>
        <v/>
      </c>
      <c r="F983" s="6" t="str">
        <f t="shared" si="56"/>
        <v/>
      </c>
      <c r="G983" s="7" t="str">
        <f>IFERROR(總表[[#This Row],[數量]]*總表[[#This Row],[單價]],"")</f>
        <v/>
      </c>
      <c r="H983" s="8" t="str">
        <f t="shared" si="57"/>
        <v/>
      </c>
    </row>
    <row r="984" spans="1:8" x14ac:dyDescent="0.3">
      <c r="A984" s="4" t="str">
        <f t="shared" si="54"/>
        <v/>
      </c>
      <c r="D984" s="1" t="str">
        <f t="shared" si="58"/>
        <v/>
      </c>
      <c r="E984" s="5" t="str">
        <f t="shared" si="55"/>
        <v/>
      </c>
      <c r="F984" s="6" t="str">
        <f t="shared" si="56"/>
        <v/>
      </c>
      <c r="G984" s="7" t="str">
        <f>IFERROR(總表[[#This Row],[數量]]*總表[[#This Row],[單價]],"")</f>
        <v/>
      </c>
      <c r="H984" s="8" t="str">
        <f t="shared" si="57"/>
        <v/>
      </c>
    </row>
    <row r="985" spans="1:8" x14ac:dyDescent="0.3">
      <c r="A985" s="4" t="str">
        <f t="shared" si="54"/>
        <v/>
      </c>
      <c r="D985" s="1" t="str">
        <f t="shared" si="58"/>
        <v/>
      </c>
      <c r="E985" s="5" t="str">
        <f t="shared" si="55"/>
        <v/>
      </c>
      <c r="F985" s="6" t="str">
        <f t="shared" si="56"/>
        <v/>
      </c>
      <c r="G985" s="7" t="str">
        <f>IFERROR(總表[[#This Row],[數量]]*總表[[#This Row],[單價]],"")</f>
        <v/>
      </c>
      <c r="H985" s="8" t="str">
        <f t="shared" si="57"/>
        <v/>
      </c>
    </row>
    <row r="986" spans="1:8" x14ac:dyDescent="0.3">
      <c r="A986" s="4" t="str">
        <f t="shared" si="54"/>
        <v/>
      </c>
      <c r="D986" s="1" t="str">
        <f t="shared" si="58"/>
        <v/>
      </c>
      <c r="E986" s="5" t="str">
        <f t="shared" si="55"/>
        <v/>
      </c>
      <c r="F986" s="6" t="str">
        <f t="shared" si="56"/>
        <v/>
      </c>
      <c r="G986" s="7" t="str">
        <f>IFERROR(總表[[#This Row],[數量]]*總表[[#This Row],[單價]],"")</f>
        <v/>
      </c>
      <c r="H986" s="8" t="str">
        <f t="shared" si="57"/>
        <v/>
      </c>
    </row>
    <row r="987" spans="1:8" x14ac:dyDescent="0.3">
      <c r="A987" s="4" t="str">
        <f t="shared" si="54"/>
        <v/>
      </c>
      <c r="D987" s="1" t="str">
        <f t="shared" si="58"/>
        <v/>
      </c>
      <c r="E987" s="5" t="str">
        <f t="shared" si="55"/>
        <v/>
      </c>
      <c r="F987" s="6" t="str">
        <f t="shared" si="56"/>
        <v/>
      </c>
      <c r="G987" s="7" t="str">
        <f>IFERROR(總表[[#This Row],[數量]]*總表[[#This Row],[單價]],"")</f>
        <v/>
      </c>
      <c r="H987" s="8" t="str">
        <f t="shared" si="57"/>
        <v/>
      </c>
    </row>
    <row r="988" spans="1:8" x14ac:dyDescent="0.3">
      <c r="A988" s="4" t="str">
        <f t="shared" si="54"/>
        <v/>
      </c>
      <c r="D988" s="1" t="str">
        <f t="shared" si="58"/>
        <v/>
      </c>
      <c r="E988" s="5" t="str">
        <f t="shared" si="55"/>
        <v/>
      </c>
      <c r="F988" s="6" t="str">
        <f t="shared" si="56"/>
        <v/>
      </c>
      <c r="G988" s="7" t="str">
        <f>IFERROR(總表[[#This Row],[數量]]*總表[[#This Row],[單價]],"")</f>
        <v/>
      </c>
      <c r="H988" s="8" t="str">
        <f t="shared" si="57"/>
        <v/>
      </c>
    </row>
    <row r="989" spans="1:8" x14ac:dyDescent="0.3">
      <c r="A989" s="4" t="str">
        <f t="shared" si="54"/>
        <v/>
      </c>
      <c r="D989" s="1" t="str">
        <f t="shared" si="58"/>
        <v/>
      </c>
      <c r="E989" s="5" t="str">
        <f t="shared" si="55"/>
        <v/>
      </c>
      <c r="F989" s="6" t="str">
        <f t="shared" si="56"/>
        <v/>
      </c>
      <c r="G989" s="7" t="str">
        <f>IFERROR(總表[[#This Row],[數量]]*總表[[#This Row],[單價]],"")</f>
        <v/>
      </c>
      <c r="H989" s="8" t="str">
        <f t="shared" si="57"/>
        <v/>
      </c>
    </row>
    <row r="990" spans="1:8" x14ac:dyDescent="0.3">
      <c r="A990" s="4" t="str">
        <f t="shared" si="54"/>
        <v/>
      </c>
      <c r="D990" s="1" t="str">
        <f t="shared" si="58"/>
        <v/>
      </c>
      <c r="E990" s="5" t="str">
        <f t="shared" si="55"/>
        <v/>
      </c>
      <c r="F990" s="6" t="str">
        <f t="shared" si="56"/>
        <v/>
      </c>
      <c r="G990" s="7" t="str">
        <f>IFERROR(總表[[#This Row],[數量]]*總表[[#This Row],[單價]],"")</f>
        <v/>
      </c>
      <c r="H990" s="8" t="str">
        <f t="shared" si="57"/>
        <v/>
      </c>
    </row>
    <row r="991" spans="1:8" x14ac:dyDescent="0.3">
      <c r="A991" s="4" t="str">
        <f t="shared" si="54"/>
        <v/>
      </c>
      <c r="D991" s="1" t="str">
        <f t="shared" si="58"/>
        <v/>
      </c>
      <c r="E991" s="5" t="str">
        <f t="shared" si="55"/>
        <v/>
      </c>
      <c r="F991" s="6" t="str">
        <f t="shared" si="56"/>
        <v/>
      </c>
      <c r="G991" s="7" t="str">
        <f>IFERROR(總表[[#This Row],[數量]]*總表[[#This Row],[單價]],"")</f>
        <v/>
      </c>
      <c r="H991" s="8" t="str">
        <f t="shared" si="57"/>
        <v/>
      </c>
    </row>
    <row r="992" spans="1:8" x14ac:dyDescent="0.3">
      <c r="A992" s="4" t="str">
        <f t="shared" si="54"/>
        <v/>
      </c>
      <c r="D992" s="1" t="str">
        <f t="shared" si="58"/>
        <v/>
      </c>
      <c r="E992" s="5" t="str">
        <f t="shared" si="55"/>
        <v/>
      </c>
      <c r="F992" s="6" t="str">
        <f t="shared" si="56"/>
        <v/>
      </c>
      <c r="G992" s="7" t="str">
        <f>IFERROR(總表[[#This Row],[數量]]*總表[[#This Row],[單價]],"")</f>
        <v/>
      </c>
      <c r="H992" s="8" t="str">
        <f t="shared" si="57"/>
        <v/>
      </c>
    </row>
    <row r="993" spans="1:8" x14ac:dyDescent="0.3">
      <c r="A993" s="4" t="str">
        <f t="shared" si="54"/>
        <v/>
      </c>
      <c r="D993" s="1" t="str">
        <f t="shared" si="58"/>
        <v/>
      </c>
      <c r="E993" s="5" t="str">
        <f t="shared" si="55"/>
        <v/>
      </c>
      <c r="F993" s="6" t="str">
        <f t="shared" si="56"/>
        <v/>
      </c>
      <c r="G993" s="7" t="str">
        <f>IFERROR(總表[[#This Row],[數量]]*總表[[#This Row],[單價]],"")</f>
        <v/>
      </c>
      <c r="H993" s="8" t="str">
        <f t="shared" si="57"/>
        <v/>
      </c>
    </row>
    <row r="994" spans="1:8" x14ac:dyDescent="0.3">
      <c r="A994" s="4" t="str">
        <f t="shared" si="54"/>
        <v/>
      </c>
      <c r="D994" s="1" t="str">
        <f t="shared" si="58"/>
        <v/>
      </c>
      <c r="E994" s="5" t="str">
        <f t="shared" si="55"/>
        <v/>
      </c>
      <c r="F994" s="6" t="str">
        <f t="shared" si="56"/>
        <v/>
      </c>
      <c r="G994" s="7" t="str">
        <f>IFERROR(總表[[#This Row],[數量]]*總表[[#This Row],[單價]],"")</f>
        <v/>
      </c>
      <c r="H994" s="8" t="str">
        <f t="shared" si="57"/>
        <v/>
      </c>
    </row>
    <row r="995" spans="1:8" x14ac:dyDescent="0.3">
      <c r="A995" s="4" t="str">
        <f t="shared" si="54"/>
        <v/>
      </c>
      <c r="D995" s="1" t="str">
        <f t="shared" si="58"/>
        <v/>
      </c>
      <c r="E995" s="5" t="str">
        <f t="shared" si="55"/>
        <v/>
      </c>
      <c r="F995" s="6" t="str">
        <f t="shared" si="56"/>
        <v/>
      </c>
      <c r="G995" s="7" t="str">
        <f>IFERROR(總表[[#This Row],[數量]]*總表[[#This Row],[單價]],"")</f>
        <v/>
      </c>
      <c r="H995" s="8" t="str">
        <f t="shared" si="57"/>
        <v/>
      </c>
    </row>
    <row r="996" spans="1:8" x14ac:dyDescent="0.3">
      <c r="A996" s="4" t="str">
        <f t="shared" si="54"/>
        <v/>
      </c>
      <c r="D996" s="1" t="str">
        <f t="shared" si="58"/>
        <v/>
      </c>
      <c r="E996" s="5" t="str">
        <f t="shared" si="55"/>
        <v/>
      </c>
      <c r="F996" s="6" t="str">
        <f t="shared" si="56"/>
        <v/>
      </c>
      <c r="G996" s="7" t="str">
        <f>IFERROR(總表[[#This Row],[數量]]*總表[[#This Row],[單價]],"")</f>
        <v/>
      </c>
      <c r="H996" s="8" t="str">
        <f t="shared" si="57"/>
        <v/>
      </c>
    </row>
    <row r="997" spans="1:8" x14ac:dyDescent="0.3">
      <c r="A997" s="4" t="str">
        <f t="shared" si="54"/>
        <v/>
      </c>
      <c r="D997" s="1" t="str">
        <f t="shared" si="58"/>
        <v/>
      </c>
      <c r="E997" s="5" t="str">
        <f t="shared" si="55"/>
        <v/>
      </c>
      <c r="F997" s="6" t="str">
        <f t="shared" si="56"/>
        <v/>
      </c>
      <c r="G997" s="7" t="str">
        <f>IFERROR(總表[[#This Row],[數量]]*總表[[#This Row],[單價]],"")</f>
        <v/>
      </c>
      <c r="H997" s="8" t="str">
        <f t="shared" si="57"/>
        <v/>
      </c>
    </row>
    <row r="998" spans="1:8" x14ac:dyDescent="0.3">
      <c r="A998" s="4" t="str">
        <f t="shared" si="54"/>
        <v/>
      </c>
      <c r="D998" s="1" t="str">
        <f t="shared" si="58"/>
        <v/>
      </c>
      <c r="E998" s="5" t="str">
        <f t="shared" si="55"/>
        <v/>
      </c>
      <c r="F998" s="6" t="str">
        <f t="shared" si="56"/>
        <v/>
      </c>
      <c r="G998" s="7" t="str">
        <f>IFERROR(總表[[#This Row],[數量]]*總表[[#This Row],[單價]],"")</f>
        <v/>
      </c>
      <c r="H998" s="8" t="str">
        <f t="shared" si="57"/>
        <v/>
      </c>
    </row>
    <row r="999" spans="1:8" x14ac:dyDescent="0.3">
      <c r="A999" s="4" t="str">
        <f t="shared" si="54"/>
        <v/>
      </c>
      <c r="D999" s="1" t="str">
        <f t="shared" si="58"/>
        <v/>
      </c>
      <c r="E999" s="5" t="str">
        <f t="shared" si="55"/>
        <v/>
      </c>
      <c r="F999" s="6" t="str">
        <f t="shared" si="56"/>
        <v/>
      </c>
      <c r="G999" s="7" t="str">
        <f>IFERROR(總表[[#This Row],[數量]]*總表[[#This Row],[單價]],"")</f>
        <v/>
      </c>
      <c r="H999" s="8" t="str">
        <f t="shared" si="57"/>
        <v/>
      </c>
    </row>
    <row r="1000" spans="1:8" x14ac:dyDescent="0.3">
      <c r="A1000" s="4" t="str">
        <f t="shared" si="54"/>
        <v/>
      </c>
      <c r="D1000" s="1" t="str">
        <f t="shared" si="58"/>
        <v/>
      </c>
      <c r="E1000" s="5" t="str">
        <f t="shared" si="55"/>
        <v/>
      </c>
      <c r="F1000" s="6" t="str">
        <f t="shared" si="56"/>
        <v/>
      </c>
      <c r="G1000" s="7" t="str">
        <f>IFERROR(總表[[#This Row],[數量]]*總表[[#This Row],[單價]],"")</f>
        <v/>
      </c>
      <c r="H1000" s="8" t="str">
        <f t="shared" si="57"/>
        <v/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E17:E18 E20:E21 E23 E33:E38 E25:E26 E28 E40:E41 E45:E51 E54:E55 E43 E74:E77 E59:E72 E79:E107 E109:E123 E148:E174 E125:E146" listDataValidatio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1F8D1F6-57B3-4FC7-848B-16509637EE63}">
          <x14:formula1>
            <xm:f>工作表2!$A:$A</xm:f>
          </x14:formula1>
          <xm:sqref>B2:B1000</xm:sqref>
        </x14:dataValidation>
        <x14:dataValidation type="list" allowBlank="1" showInputMessage="1" showErrorMessage="1" xr:uid="{CD6B876E-739D-4604-A7C3-0927554E4EA3}">
          <x14:formula1>
            <xm:f>工作表2!$D:$D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0A487-278E-446B-BA90-F3066F39F76A}">
  <dimension ref="A1:K43"/>
  <sheetViews>
    <sheetView workbookViewId="0">
      <selection activeCell="D13" sqref="D13"/>
    </sheetView>
  </sheetViews>
  <sheetFormatPr defaultRowHeight="16.2" x14ac:dyDescent="0.3"/>
  <cols>
    <col min="1" max="4" width="14.33203125" bestFit="1" customWidth="1"/>
    <col min="5" max="5" width="11.88671875" bestFit="1" customWidth="1"/>
    <col min="6" max="7" width="14.33203125" bestFit="1" customWidth="1"/>
    <col min="8" max="8" width="11.88671875" bestFit="1" customWidth="1"/>
  </cols>
  <sheetData>
    <row r="1" spans="1:11" x14ac:dyDescent="0.3">
      <c r="A1" t="str" cm="1">
        <f t="array" ref="A1:A43">_xlfn.UNIQUE(_xlfn._xlws.FILTER(總表!B:B,總表!B:B&lt;&gt;""))</f>
        <v>品名</v>
      </c>
    </row>
    <row r="2" spans="1:11" x14ac:dyDescent="0.3">
      <c r="A2" t="str">
        <v>001.九層塔</v>
      </c>
      <c r="D2" t="s">
        <v>13</v>
      </c>
      <c r="F2" t="s">
        <v>9</v>
      </c>
    </row>
    <row r="3" spans="1:11" x14ac:dyDescent="0.3">
      <c r="A3" t="str">
        <v>012.綠捲生菜</v>
      </c>
      <c r="D3" t="s">
        <v>11</v>
      </c>
      <c r="F3" t="s">
        <v>15</v>
      </c>
      <c r="G3" t="s">
        <v>32</v>
      </c>
      <c r="H3" t="s">
        <v>38</v>
      </c>
      <c r="I3" t="s">
        <v>58</v>
      </c>
      <c r="J3" t="s">
        <v>24</v>
      </c>
      <c r="K3" t="s">
        <v>26</v>
      </c>
    </row>
    <row r="4" spans="1:11" x14ac:dyDescent="0.3">
      <c r="A4" t="str">
        <v>021.洋菇</v>
      </c>
      <c r="D4" t="s">
        <v>14</v>
      </c>
      <c r="F4" t="s">
        <v>46</v>
      </c>
      <c r="G4" t="s">
        <v>34</v>
      </c>
      <c r="H4" t="s">
        <v>36</v>
      </c>
      <c r="I4" t="s">
        <v>40</v>
      </c>
      <c r="J4" t="s">
        <v>30</v>
      </c>
    </row>
    <row r="5" spans="1:11" x14ac:dyDescent="0.3">
      <c r="A5" t="str">
        <v>004.牛番茄</v>
      </c>
      <c r="D5" t="s">
        <v>87</v>
      </c>
      <c r="F5" t="s">
        <v>42</v>
      </c>
      <c r="G5" t="s">
        <v>44</v>
      </c>
      <c r="H5" t="s">
        <v>48</v>
      </c>
      <c r="I5" t="s">
        <v>56</v>
      </c>
      <c r="J5" t="s">
        <v>52</v>
      </c>
    </row>
    <row r="6" spans="1:11" x14ac:dyDescent="0.3">
      <c r="A6" t="str">
        <v>005.紅椒</v>
      </c>
      <c r="D6" t="s">
        <v>14</v>
      </c>
      <c r="F6" t="s">
        <v>16</v>
      </c>
      <c r="G6" t="s">
        <v>44</v>
      </c>
      <c r="I6" t="s">
        <v>62</v>
      </c>
      <c r="J6" t="s">
        <v>54</v>
      </c>
    </row>
    <row r="7" spans="1:11" x14ac:dyDescent="0.3">
      <c r="A7" t="str">
        <v>006.黃椒</v>
      </c>
      <c r="F7" t="s">
        <v>18</v>
      </c>
      <c r="G7" t="s">
        <v>65</v>
      </c>
      <c r="J7" t="s">
        <v>60</v>
      </c>
    </row>
    <row r="8" spans="1:11" x14ac:dyDescent="0.3">
      <c r="A8" t="str">
        <v>201.蛤蠣</v>
      </c>
      <c r="F8" t="s">
        <v>20</v>
      </c>
    </row>
    <row r="9" spans="1:11" x14ac:dyDescent="0.3">
      <c r="A9" t="str">
        <v>007.洋蔥</v>
      </c>
      <c r="F9" t="s">
        <v>22</v>
      </c>
    </row>
    <row r="10" spans="1:11" x14ac:dyDescent="0.3">
      <c r="A10" t="str">
        <v>401.薄荷葉</v>
      </c>
      <c r="F10" t="s">
        <v>28</v>
      </c>
    </row>
    <row r="11" spans="1:11" x14ac:dyDescent="0.3">
      <c r="A11" t="str">
        <v>008.蒜(碎)</v>
      </c>
      <c r="F11" t="s">
        <v>50</v>
      </c>
    </row>
    <row r="12" spans="1:11" x14ac:dyDescent="0.3">
      <c r="A12" t="str">
        <v>013.芝麻葉</v>
      </c>
    </row>
    <row r="13" spans="1:11" x14ac:dyDescent="0.3">
      <c r="A13" t="str">
        <v>202.白蝦</v>
      </c>
    </row>
    <row r="14" spans="1:11" x14ac:dyDescent="0.3">
      <c r="A14" t="str">
        <v>010.紫包心</v>
      </c>
    </row>
    <row r="15" spans="1:11" x14ac:dyDescent="0.3">
      <c r="A15" t="str">
        <v>011.蘿蔓生菜</v>
      </c>
    </row>
    <row r="16" spans="1:11" x14ac:dyDescent="0.3">
      <c r="A16" t="str">
        <v>022.杏鮑菇</v>
      </c>
    </row>
    <row r="17" spans="1:1" x14ac:dyDescent="0.3">
      <c r="A17" t="str">
        <v>023.香菇</v>
      </c>
    </row>
    <row r="18" spans="1:1" x14ac:dyDescent="0.3">
      <c r="A18" t="str">
        <v>101.無骨雞腿</v>
      </c>
    </row>
    <row r="19" spans="1:1" x14ac:dyDescent="0.3">
      <c r="A19" t="str">
        <v>003.聖女番茄</v>
      </c>
    </row>
    <row r="20" spans="1:1" x14ac:dyDescent="0.3">
      <c r="A20" t="str">
        <v>002.洋芋</v>
      </c>
    </row>
    <row r="21" spans="1:1" x14ac:dyDescent="0.3">
      <c r="A21" t="str">
        <v>008.蒜頭</v>
      </c>
    </row>
    <row r="22" spans="1:1" x14ac:dyDescent="0.3">
      <c r="A22" t="str">
        <v>203.鯛魚片</v>
      </c>
    </row>
    <row r="23" spans="1:1" x14ac:dyDescent="0.3">
      <c r="A23" t="str">
        <v>204.淡菜</v>
      </c>
    </row>
    <row r="24" spans="1:1" x14ac:dyDescent="0.3">
      <c r="A24" t="str">
        <v>102.二節翅</v>
      </c>
    </row>
    <row r="25" spans="1:1" x14ac:dyDescent="0.3">
      <c r="A25" t="str">
        <v>100.雞蛋</v>
      </c>
    </row>
    <row r="26" spans="1:1" x14ac:dyDescent="0.3">
      <c r="A26" t="str">
        <v>205.煙燻鮭魚</v>
      </c>
    </row>
    <row r="27" spans="1:1" x14ac:dyDescent="0.3">
      <c r="A27" t="str">
        <v>103.松阪肉</v>
      </c>
    </row>
    <row r="28" spans="1:1" x14ac:dyDescent="0.3">
      <c r="A28" t="str">
        <v>402.蘋果</v>
      </c>
    </row>
    <row r="29" spans="1:1" x14ac:dyDescent="0.3">
      <c r="A29" t="str">
        <v>403.香吉士</v>
      </c>
    </row>
    <row r="30" spans="1:1" x14ac:dyDescent="0.3">
      <c r="A30" t="str">
        <v>301.玉米粒</v>
      </c>
    </row>
    <row r="31" spans="1:1" x14ac:dyDescent="0.3">
      <c r="A31" t="str">
        <v>501.蝦夷蔥</v>
      </c>
    </row>
    <row r="32" spans="1:1" x14ac:dyDescent="0.3">
      <c r="A32" t="str">
        <v>502.荷蘭豆</v>
      </c>
    </row>
    <row r="33" spans="1:1" x14ac:dyDescent="0.3">
      <c r="A33" t="str">
        <v>503.黃櫛瓜</v>
      </c>
    </row>
    <row r="34" spans="1:1" x14ac:dyDescent="0.3">
      <c r="A34" t="str">
        <v>504.綠櫛瓜</v>
      </c>
    </row>
    <row r="35" spans="1:1" x14ac:dyDescent="0.3">
      <c r="A35" t="str">
        <v>505.泰國蘆筍</v>
      </c>
    </row>
    <row r="36" spans="1:1" x14ac:dyDescent="0.3">
      <c r="A36" t="str">
        <v>506.地瓜</v>
      </c>
    </row>
    <row r="37" spans="1:1" x14ac:dyDescent="0.3">
      <c r="A37" t="str">
        <v>104.牛絞肉</v>
      </c>
    </row>
    <row r="38" spans="1:1" x14ac:dyDescent="0.3">
      <c r="A38" t="str">
        <v>507.青花菜</v>
      </c>
    </row>
    <row r="39" spans="1:1" x14ac:dyDescent="0.3">
      <c r="A39" t="str">
        <v>511.紅蘿蔔</v>
      </c>
    </row>
    <row r="40" spans="1:1" x14ac:dyDescent="0.3">
      <c r="A40" t="str">
        <v>512.西芹</v>
      </c>
    </row>
    <row r="41" spans="1:1" x14ac:dyDescent="0.3">
      <c r="A41" t="str">
        <v>513.百里香</v>
      </c>
    </row>
    <row r="42" spans="1:1" x14ac:dyDescent="0.3">
      <c r="A42" t="str">
        <v>514.老薑</v>
      </c>
    </row>
    <row r="43" spans="1:1" x14ac:dyDescent="0.3">
      <c r="A43" t="str">
        <v>515.蔥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總表</vt:lpstr>
      <vt:lpstr>工作表2</vt:lpstr>
      <vt:lpstr>單位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 HC</dc:creator>
  <cp:lastModifiedBy>HH HC</cp:lastModifiedBy>
  <dcterms:created xsi:type="dcterms:W3CDTF">2026-01-06T15:05:21Z</dcterms:created>
  <dcterms:modified xsi:type="dcterms:W3CDTF">2026-01-07T07:09:40Z</dcterms:modified>
</cp:coreProperties>
</file>